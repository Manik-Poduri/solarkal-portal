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e7912c2eddeae01a/Desktop/SolarKal ULI/"/>
    </mc:Choice>
  </mc:AlternateContent>
  <xr:revisionPtr revIDLastSave="2" documentId="8_{AAEDD124-A7DB-4E8D-88CD-94D8184B1C68}" xr6:coauthVersionLast="47" xr6:coauthVersionMax="47" xr10:uidLastSave="{02111AEE-75F8-4379-A38F-151DA1ADA30F}"/>
  <bookViews>
    <workbookView xWindow="-28920" yWindow="1620" windowWidth="29040" windowHeight="15720" activeTab="2" xr2:uid="{00000000-000D-0000-FFFF-FFFF00000000}"/>
  </bookViews>
  <sheets>
    <sheet name="Property List" sheetId="2" r:id="rId1"/>
    <sheet name="Valuation" sheetId="3" r:id="rId2"/>
    <sheet name="Client One-Pager"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7" i="2" l="1"/>
  <c r="J13" i="4"/>
  <c r="J14" i="4"/>
  <c r="J15" i="4"/>
  <c r="J16"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L32" i="3"/>
  <c r="I7" i="3"/>
  <c r="I9" i="3"/>
  <c r="I20" i="3"/>
  <c r="J20" i="3" s="1"/>
  <c r="M20" i="3" s="1"/>
  <c r="G32" i="3" a="1"/>
  <c r="G32" i="3" s="1"/>
  <c r="H32" i="3" s="1"/>
  <c r="H7" i="3"/>
  <c r="J7" i="3" s="1"/>
  <c r="M7" i="3" s="1"/>
  <c r="H9" i="3"/>
  <c r="J9" i="3" s="1"/>
  <c r="M9" i="3" s="1"/>
  <c r="H13" i="3"/>
  <c r="I13" i="3" s="1"/>
  <c r="H17" i="3"/>
  <c r="H18" i="3"/>
  <c r="H20" i="3"/>
  <c r="H27" i="3"/>
  <c r="I27" i="3" s="1"/>
  <c r="G3" i="3" a="1"/>
  <c r="G3" i="3" s="1"/>
  <c r="H3" i="3" s="1"/>
  <c r="G4" i="3" a="1"/>
  <c r="G4" i="3"/>
  <c r="H4" i="3" s="1"/>
  <c r="G5" i="3" a="1"/>
  <c r="G5" i="3" s="1"/>
  <c r="H5" i="3" s="1"/>
  <c r="G6" i="3" a="1"/>
  <c r="G6" i="3"/>
  <c r="H6" i="3" s="1"/>
  <c r="G7" i="3" a="1"/>
  <c r="G7" i="3"/>
  <c r="G8" i="3" a="1"/>
  <c r="G8" i="3"/>
  <c r="H8" i="3" s="1"/>
  <c r="G9" i="3" a="1"/>
  <c r="G9" i="3"/>
  <c r="G10" i="3" a="1"/>
  <c r="G10" i="3" s="1"/>
  <c r="H10" i="3" s="1"/>
  <c r="G11" i="3" a="1"/>
  <c r="G11" i="3"/>
  <c r="H11" i="3" s="1"/>
  <c r="G12" i="3" a="1"/>
  <c r="G12" i="3"/>
  <c r="H12" i="3" s="1"/>
  <c r="G13" i="3" a="1"/>
  <c r="G13" i="3"/>
  <c r="G14" i="3" a="1"/>
  <c r="G14" i="3" s="1"/>
  <c r="H14" i="3" s="1"/>
  <c r="G15" i="3" a="1"/>
  <c r="G15" i="3"/>
  <c r="H15" i="3" s="1"/>
  <c r="G16" i="3" a="1"/>
  <c r="G16" i="3"/>
  <c r="H16" i="3" s="1"/>
  <c r="G17" i="3" a="1"/>
  <c r="G17" i="3" s="1"/>
  <c r="G18" i="3" a="1"/>
  <c r="G18" i="3"/>
  <c r="G19" i="3" a="1"/>
  <c r="G19" i="3" s="1"/>
  <c r="H19" i="3" s="1"/>
  <c r="G20" i="3" a="1"/>
  <c r="G20" i="3"/>
  <c r="G21" i="3" a="1"/>
  <c r="G21" i="3"/>
  <c r="H21" i="3" s="1"/>
  <c r="G22" i="3" a="1"/>
  <c r="G22" i="3"/>
  <c r="H22" i="3" s="1"/>
  <c r="G23" i="3" a="1"/>
  <c r="G23" i="3" s="1"/>
  <c r="H23" i="3" s="1"/>
  <c r="G24" i="3" a="1"/>
  <c r="G24" i="3" s="1"/>
  <c r="H24" i="3" s="1"/>
  <c r="G25" i="3" a="1"/>
  <c r="G25" i="3"/>
  <c r="H25" i="3" s="1"/>
  <c r="G26" i="3" a="1"/>
  <c r="G26" i="3" s="1"/>
  <c r="H26" i="3" s="1"/>
  <c r="G27" i="3" a="1"/>
  <c r="G27" i="3"/>
  <c r="G28" i="3" a="1"/>
  <c r="G28" i="3" s="1"/>
  <c r="H28" i="3" s="1"/>
  <c r="G29" i="3" a="1"/>
  <c r="G29" i="3"/>
  <c r="H29" i="3" s="1"/>
  <c r="G30" i="3" a="1"/>
  <c r="G30" i="3"/>
  <c r="H30" i="3" s="1"/>
  <c r="G31" i="3" a="1"/>
  <c r="G31" i="3" s="1"/>
  <c r="H31" i="3" s="1"/>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I32" i="3" l="1"/>
  <c r="J32" i="3" s="1"/>
  <c r="M32" i="3" s="1"/>
  <c r="I31" i="3"/>
  <c r="J31" i="3" s="1"/>
  <c r="M31" i="3" s="1"/>
  <c r="I30" i="3"/>
  <c r="J30" i="3" s="1"/>
  <c r="M30" i="3" s="1"/>
  <c r="I29" i="3"/>
  <c r="J29" i="3" s="1"/>
  <c r="M29" i="3" s="1"/>
  <c r="I28" i="3"/>
  <c r="J28" i="3"/>
  <c r="M28" i="3" s="1"/>
  <c r="J27" i="3"/>
  <c r="M27" i="3" s="1"/>
  <c r="I26" i="3"/>
  <c r="J26" i="3"/>
  <c r="M26" i="3" s="1"/>
  <c r="I25" i="3"/>
  <c r="J25" i="3"/>
  <c r="M25" i="3" s="1"/>
  <c r="I24" i="3"/>
  <c r="J24" i="3"/>
  <c r="M24" i="3" s="1"/>
  <c r="I23" i="3"/>
  <c r="J23" i="3"/>
  <c r="M23" i="3" s="1"/>
  <c r="I22" i="3"/>
  <c r="J22" i="3" s="1"/>
  <c r="M22" i="3" s="1"/>
  <c r="I21" i="3"/>
  <c r="J21" i="3" s="1"/>
  <c r="M21" i="3" s="1"/>
  <c r="I19" i="3"/>
  <c r="J19" i="3"/>
  <c r="M19" i="3" s="1"/>
  <c r="I18" i="3"/>
  <c r="J18" i="3" s="1"/>
  <c r="M18" i="3" s="1"/>
  <c r="J17" i="3"/>
  <c r="M17" i="3" s="1"/>
  <c r="I17" i="3"/>
  <c r="I16" i="3"/>
  <c r="J16" i="3" s="1"/>
  <c r="M16" i="3" s="1"/>
  <c r="I15" i="3"/>
  <c r="J15" i="3" s="1"/>
  <c r="M15" i="3" s="1"/>
  <c r="I14" i="3"/>
  <c r="J14" i="3"/>
  <c r="M14" i="3" s="1"/>
  <c r="J13" i="3"/>
  <c r="M13" i="3" s="1"/>
  <c r="I12" i="3"/>
  <c r="J12" i="3"/>
  <c r="M12" i="3" s="1"/>
  <c r="I11" i="3"/>
  <c r="J11" i="3"/>
  <c r="M11" i="3" s="1"/>
  <c r="I10" i="3"/>
  <c r="J10" i="3"/>
  <c r="M10" i="3" s="1"/>
  <c r="I8" i="3"/>
  <c r="J8" i="3"/>
  <c r="M8" i="3" s="1"/>
  <c r="I6" i="3"/>
  <c r="J6" i="3"/>
  <c r="M6" i="3" s="1"/>
  <c r="I5" i="3"/>
  <c r="J5" i="3" s="1"/>
  <c r="M5" i="3" s="1"/>
  <c r="I4" i="3"/>
  <c r="J4" i="3" s="1"/>
  <c r="M4" i="3" s="1"/>
  <c r="I3" i="3"/>
  <c r="J3" i="3" s="1"/>
  <c r="M3" i="3" s="1"/>
  <c r="D34" i="3"/>
  <c r="E2" i="3"/>
  <c r="G2" i="3" s="1" a="1"/>
  <c r="G2" i="3" s="1"/>
  <c r="L2" i="3"/>
  <c r="L34" i="3" s="1"/>
  <c r="J7" i="4"/>
  <c r="J48" i="4"/>
  <c r="D12" i="4"/>
  <c r="D43" i="4" s="1"/>
  <c r="C12" i="4"/>
  <c r="B12" i="4"/>
  <c r="F25" i="4" l="1"/>
  <c r="G25" i="4" s="1"/>
  <c r="F39" i="4"/>
  <c r="G39" i="4" s="1"/>
  <c r="F17" i="4"/>
  <c r="G17" i="4" s="1"/>
  <c r="F37" i="4"/>
  <c r="G37" i="4" s="1"/>
  <c r="F38" i="4"/>
  <c r="G38" i="4" s="1"/>
  <c r="F26" i="4"/>
  <c r="G26" i="4" s="1"/>
  <c r="F40" i="4"/>
  <c r="G40" i="4" s="1"/>
  <c r="F34" i="4"/>
  <c r="G34" i="4" s="1"/>
  <c r="F22" i="4"/>
  <c r="G22" i="4" s="1"/>
  <c r="F24" i="4"/>
  <c r="G24" i="4" s="1"/>
  <c r="F13" i="4"/>
  <c r="G13" i="4" s="1"/>
  <c r="F27" i="4"/>
  <c r="G27" i="4" s="1"/>
  <c r="F41" i="4"/>
  <c r="G41" i="4" s="1"/>
  <c r="F31" i="4"/>
  <c r="G31" i="4" s="1"/>
  <c r="F33" i="4"/>
  <c r="G33" i="4" s="1"/>
  <c r="F21" i="4"/>
  <c r="G21" i="4" s="1"/>
  <c r="F36" i="4"/>
  <c r="G36" i="4" s="1"/>
  <c r="F23" i="4"/>
  <c r="G23" i="4" s="1"/>
  <c r="F14" i="4"/>
  <c r="G14" i="4" s="1"/>
  <c r="F28" i="4"/>
  <c r="G28" i="4" s="1"/>
  <c r="F42" i="4"/>
  <c r="G42" i="4" s="1"/>
  <c r="F18" i="4"/>
  <c r="G18" i="4" s="1"/>
  <c r="F35" i="4"/>
  <c r="G35" i="4" s="1"/>
  <c r="F15" i="4"/>
  <c r="G15" i="4" s="1"/>
  <c r="F29" i="4"/>
  <c r="G29" i="4" s="1"/>
  <c r="F32" i="4"/>
  <c r="G32" i="4" s="1"/>
  <c r="F19" i="4"/>
  <c r="G19" i="4" s="1"/>
  <c r="F20" i="4"/>
  <c r="G20" i="4" s="1"/>
  <c r="F16" i="4"/>
  <c r="G16" i="4" s="1"/>
  <c r="F30" i="4"/>
  <c r="G30" i="4" s="1"/>
  <c r="H2" i="3"/>
  <c r="H34" i="3" s="1"/>
  <c r="E34" i="3"/>
  <c r="F12" i="4"/>
  <c r="D47" i="4" l="1"/>
  <c r="F43" i="4"/>
  <c r="I2" i="3"/>
  <c r="I34" i="3" s="1"/>
  <c r="J2" i="3" l="1"/>
  <c r="J34" i="3" s="1"/>
  <c r="M2" i="3" l="1"/>
  <c r="E12" i="4"/>
  <c r="B47" i="4" l="1"/>
  <c r="F47" i="4" s="1"/>
  <c r="E43" i="4"/>
  <c r="M34" i="3"/>
  <c r="H60" i="3" s="1"/>
  <c r="G12" i="4"/>
  <c r="H64" i="3" l="1"/>
  <c r="J49" i="4"/>
  <c r="G43" i="4"/>
  <c r="B6" i="4" s="1"/>
  <c r="H63" i="3"/>
  <c r="H62" i="3"/>
  <c r="H61" i="3"/>
  <c r="G47" i="4"/>
  <c r="J12" i="4"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<sst xmlns="http://schemas.openxmlformats.org/spreadsheetml/2006/main" count="353" uniqueCount="151">
  <si>
    <t>State</t>
  </si>
  <si>
    <t>MD</t>
  </si>
  <si>
    <t>IL</t>
  </si>
  <si>
    <t>Total</t>
  </si>
  <si>
    <t>S.NO</t>
  </si>
  <si>
    <t>Property</t>
  </si>
  <si>
    <t>Address</t>
  </si>
  <si>
    <t>City</t>
  </si>
  <si>
    <t>Building GLA (sq ft)</t>
  </si>
  <si>
    <t>System Size (kW)</t>
  </si>
  <si>
    <t>Region</t>
  </si>
  <si>
    <t>Lease Rate ($/kW)</t>
  </si>
  <si>
    <t>Solar Revenue - High ($)</t>
  </si>
  <si>
    <t>Solar Revenue - Low ($)</t>
  </si>
  <si>
    <t>Solar Revenue - Midpoint ($)</t>
  </si>
  <si>
    <t>BESS Eligible?</t>
  </si>
  <si>
    <t>Bess Revenue ($)</t>
  </si>
  <si>
    <t>Total NOI - Midpoint ($)</t>
  </si>
  <si>
    <t>NY - Upstate</t>
  </si>
  <si>
    <t>NJ - JCP&amp;L</t>
  </si>
  <si>
    <t>NY - Westchester</t>
  </si>
  <si>
    <t>MA - Eversource East</t>
  </si>
  <si>
    <t>NY - NYC</t>
  </si>
  <si>
    <t>NJ - PSE&amp;G</t>
  </si>
  <si>
    <t>MA - National Grid</t>
  </si>
  <si>
    <t>NY - Long Island</t>
  </si>
  <si>
    <t>NJ - ACE</t>
  </si>
  <si>
    <t>1,000-2,000 kW ($/kW)</t>
  </si>
  <si>
    <t>Over 2,000 kW ($/kW)</t>
  </si>
  <si>
    <t>CLIENT
LOGO</t>
  </si>
  <si>
    <t>Renewable Energy Asset Value Opportunity</t>
  </si>
  <si>
    <t>ESTIMATED POTENTIAL ASSET-VALUE INCREASE</t>
  </si>
  <si>
    <t>Client name</t>
  </si>
  <si>
    <t>Cap rate</t>
  </si>
  <si>
    <t>BESS lease / eligible site</t>
  </si>
  <si>
    <t>PROPERTY FOOTPRINT + ANNUAL VALUE</t>
  </si>
  <si>
    <t>GLA (sq ft)</t>
  </si>
  <si>
    <t>Solar Annual Value</t>
  </si>
  <si>
    <t>BESS Annual Value</t>
  </si>
  <si>
    <t>Combined Annual Value</t>
  </si>
  <si>
    <t>PORTFOLIO TOTAL</t>
  </si>
  <si>
    <t>VALUE BUILD-UP</t>
  </si>
  <si>
    <t>25-Year Solar Value</t>
  </si>
  <si>
    <t>+</t>
  </si>
  <si>
    <t>25-Year BESS Value</t>
  </si>
  <si>
    <t>Term</t>
  </si>
  <si>
    <t>25 years</t>
  </si>
  <si>
    <t>Cap Rate</t>
  </si>
  <si>
    <t>25-year lease value shown as nominal annual lease income × 25; asset-value estimate remains annual renewable-energy NOI ÷ cap rate.</t>
  </si>
  <si>
    <t>Asset Value</t>
  </si>
  <si>
    <t>ASSET VALUE AT CAP RATES</t>
  </si>
  <si>
    <t>BESS lease per eligible site</t>
  </si>
  <si>
    <t>Preliminary screening estimates for discussion purposes only. Solar values reflect midpoint estimates from SolarKal's current market model, with system size estimated at one kW per 100 sq ft of building GLA; usable roof area is subject to site confirmation. BESS assumes $100,000/year for each site identified as eligible, over a 25-year term with no replacement cost modeled. Asset value is annual renewable-energy NOI divided by a 6.0% cap rate. Actual economics depend on site conditions, interconnection, market rules, incentives, lease structure and final diligence</t>
  </si>
  <si>
    <t>CA - North</t>
  </si>
  <si>
    <t>CA - South</t>
  </si>
  <si>
    <t>CA - LADWP</t>
  </si>
  <si>
    <t>500-1,000 kW ($/kW)</t>
  </si>
  <si>
    <t>NJ</t>
  </si>
  <si>
    <t>MA - Eversource West</t>
  </si>
  <si>
    <t>Yes</t>
  </si>
  <si>
    <t xml:space="preserve">Total </t>
  </si>
  <si>
    <t>Piscataway</t>
  </si>
  <si>
    <t>Kurv Melrose Park</t>
  </si>
  <si>
    <t>10400 W North Ave</t>
  </si>
  <si>
    <t>Melrose Park</t>
  </si>
  <si>
    <t>Kurv McCook</t>
  </si>
  <si>
    <t>9301 W 55th St</t>
  </si>
  <si>
    <t>McCook</t>
  </si>
  <si>
    <t>Kurv Fountain Square</t>
  </si>
  <si>
    <t>640 Remington Blvd</t>
  </si>
  <si>
    <t>Bolingbrook</t>
  </si>
  <si>
    <t>Kurv Romeoville</t>
  </si>
  <si>
    <t>295 &amp; 351 Southcreek Pkwy</t>
  </si>
  <si>
    <t>Romeoville</t>
  </si>
  <si>
    <t>Kurv Wood Dale</t>
  </si>
  <si>
    <t>700 N Wood Dale Rd</t>
  </si>
  <si>
    <t>Wood Dale</t>
  </si>
  <si>
    <t>Kurv Summit</t>
  </si>
  <si>
    <t>7955 W 59th St</t>
  </si>
  <si>
    <t>Summit</t>
  </si>
  <si>
    <t>Kurv Mundelein</t>
  </si>
  <si>
    <t>290 Townline Rd</t>
  </si>
  <si>
    <t>Mundelein</t>
  </si>
  <si>
    <t>Kurv Route 53</t>
  </si>
  <si>
    <t>755-757 Independence Blvd</t>
  </si>
  <si>
    <t>Kurv Itasca</t>
  </si>
  <si>
    <t>1055 W Devon Ave</t>
  </si>
  <si>
    <t>Itasca</t>
  </si>
  <si>
    <t>Kurv Downers Grove IV</t>
  </si>
  <si>
    <t>2300 Warrenville Rd</t>
  </si>
  <si>
    <t>Downers Grove</t>
  </si>
  <si>
    <t>Kurv Melrose Park II</t>
  </si>
  <si>
    <t>2100 N 15th Ave</t>
  </si>
  <si>
    <t>Kurv Skokie</t>
  </si>
  <si>
    <t>7800 Austin Ave</t>
  </si>
  <si>
    <t>Skokie</t>
  </si>
  <si>
    <t>Kurv Bloomingdale</t>
  </si>
  <si>
    <t>303 Munroe Dr</t>
  </si>
  <si>
    <t>Bloomingdale</t>
  </si>
  <si>
    <t>Kurv Bedford Park II</t>
  </si>
  <si>
    <t>5133 W 65th St</t>
  </si>
  <si>
    <t>Bedford Park</t>
  </si>
  <si>
    <t>Kurv Downers Grove III</t>
  </si>
  <si>
    <t>5300 Belmont Rd</t>
  </si>
  <si>
    <t>Kurv Bridge Point 78 Phase II</t>
  </si>
  <si>
    <t>3000 Rand Blvd</t>
  </si>
  <si>
    <t>Phillipsburg</t>
  </si>
  <si>
    <t>Kurv Somerset</t>
  </si>
  <si>
    <t>Randolph Rd &amp; Weston Canal Rd</t>
  </si>
  <si>
    <t>Franklin Twp (Somerset)</t>
  </si>
  <si>
    <t>Kurv Perth Amboy II</t>
  </si>
  <si>
    <t>1160 &amp; 1130 State St</t>
  </si>
  <si>
    <t>Perth Amboy</t>
  </si>
  <si>
    <t>Kurv Perth Amboy III</t>
  </si>
  <si>
    <t>555 Market St</t>
  </si>
  <si>
    <t>Kurv Belleville</t>
  </si>
  <si>
    <t>675 Main St</t>
  </si>
  <si>
    <t>Belleville</t>
  </si>
  <si>
    <t>Kurv Bayonne</t>
  </si>
  <si>
    <t>63 (New) Hook Rd</t>
  </si>
  <si>
    <t>Bayonne</t>
  </si>
  <si>
    <t>Kurv East Hanover</t>
  </si>
  <si>
    <t>11 Mount Pleasant Ave</t>
  </si>
  <si>
    <t>East Hanover</t>
  </si>
  <si>
    <t>Kurv South Brunswick</t>
  </si>
  <si>
    <t>999 Cranbury South River Rd</t>
  </si>
  <si>
    <t>Jamesburg (South Brunswick)</t>
  </si>
  <si>
    <t>Kurv Elizabeth</t>
  </si>
  <si>
    <t>575-667 Kapkowski Rd</t>
  </si>
  <si>
    <t>Elizabeth</t>
  </si>
  <si>
    <t>Kurv Newark</t>
  </si>
  <si>
    <t>54 Lockwood St</t>
  </si>
  <si>
    <t>Newark</t>
  </si>
  <si>
    <t>Kurv South Plainfield</t>
  </si>
  <si>
    <t>602 New Market Ave</t>
  </si>
  <si>
    <t>South Plainfield</t>
  </si>
  <si>
    <t>Kurv South Plainfield II</t>
  </si>
  <si>
    <t>1 Cragwood Rd</t>
  </si>
  <si>
    <t>Kurv Somerset II</t>
  </si>
  <si>
    <t>230 Belmont Dr</t>
  </si>
  <si>
    <t>Kurv Piscataway</t>
  </si>
  <si>
    <t>10 Constitution Ave</t>
  </si>
  <si>
    <t>Kurv East Rutherford</t>
  </si>
  <si>
    <t>25 East Union Ave</t>
  </si>
  <si>
    <t>East Rutherford</t>
  </si>
  <si>
    <t>Kurv West Linden</t>
  </si>
  <si>
    <t>525 West Linden Ave</t>
  </si>
  <si>
    <t>Linden</t>
  </si>
  <si>
    <t>Bridge Industrial Properties</t>
  </si>
  <si>
    <t>Bridge Industrial Properties – Consolidated Property List</t>
  </si>
  <si>
    <t>Bridge Industrial Properties (Kruv)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</si>
</sst>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gt;=1000000]&quot;$&quot;#,##0.0,,&quot;M&quot;;[&gt;=1000]&quot;$&quot;#,##0,&quot;K&quot;;&quot;$&quot;0"/>
    <numFmt numFmtId="166" formatCode="\$#,##0;[Red]\(\$#,##0\);\-"/>
    <numFmt numFmtId="167" formatCode="\$0.0,,&quot;M&quot;;[Red]\(\$0.0,,&quot;M&quot;\);\-"/>
    <numFmt numFmtId="168" formatCode="#,##0;[Red]\(#,##0\);\-"/>
    <numFmt numFmtId="169" formatCode="\$0.00,,&quot;M&quot;;[Red]\(\$0.00,,&quot;M&quot;\);\-"/>
    <numFmt numFmtId="170" formatCode="\$#,##0"/>
    <numFmt numFmtId="171" formatCode="&quot;$&quot;0.0,,&quot;M&quot;"/>
    <numFmt numFmtId="172" formatCode="&quot;$&quot;0.00,,&quot;M&quot;"/>
  </numFmts>
  <fonts count="28" x14ac:knownFonts="1">
    <font>
      <sz val="11"/>
      <color theme="1"/>
      <name val="Calibri"/>
    </font>
    <font>
      <b/>
      <sz val="14"/>
      <name val="Arial"/>
      <family val="2"/>
    </font>
    <font>
      <i/>
      <sz val="9"/>
      <name val="Arial"/>
      <family val="2"/>
    </font>
    <font>
      <b/>
      <sz val="10"/>
      <color rgb="FFFFFFFF"/>
      <name val="Arial"/>
      <family val="2"/>
    </font>
    <font>
      <b/>
      <sz val="11"/>
      <color theme="1"/>
      <name val="Calibri"/>
      <family val="2"/>
    </font>
    <font>
      <b/>
      <sz val="16"/>
      <color theme="1"/>
      <name val="Calibri"/>
      <family val="2"/>
    </font>
    <font>
      <b/>
      <sz val="14"/>
      <color theme="1"/>
      <name val="Calibri"/>
      <family val="2"/>
    </font>
    <font>
      <sz val="11"/>
      <color theme="1"/>
      <name val="Calibri"/>
      <family val="2"/>
    </font>
    <font>
      <sz val="11"/>
      <color theme="1"/>
      <name val="Arial"/>
      <family val="2"/>
    </font>
    <font>
      <b/>
      <sz val="18"/>
      <color rgb="FFFFFFFF"/>
      <name val="Arial"/>
      <family val="2"/>
    </font>
    <font>
      <b/>
      <sz val="11"/>
      <color rgb="FF66737C"/>
      <name val="Arial"/>
      <family val="2"/>
    </font>
    <font>
      <b/>
      <sz val="16"/>
      <color rgb="FF253846"/>
      <name val="Arial"/>
      <family val="2"/>
    </font>
    <font>
      <b/>
      <sz val="11"/>
      <color rgb="FFFFFFFF"/>
      <name val="Arial"/>
      <family val="2"/>
    </font>
    <font>
      <b/>
      <sz val="9"/>
      <color rgb="FF253846"/>
      <name val="Arial"/>
      <family val="2"/>
    </font>
    <font>
      <sz val="9"/>
      <color rgb="FF0000FF"/>
      <name val="Arial"/>
      <family val="2"/>
    </font>
    <font>
      <b/>
      <sz val="28"/>
      <color rgb="FF253846"/>
      <name val="Arial"/>
      <family val="2"/>
    </font>
    <font>
      <sz val="8"/>
      <color rgb="FF008000"/>
      <name val="Arial"/>
      <family val="2"/>
    </font>
    <font>
      <b/>
      <sz val="9"/>
      <color rgb="FF66737C"/>
      <name val="Arial"/>
      <family val="2"/>
    </font>
    <font>
      <sz val="11"/>
      <color rgb="FFFFFFFF"/>
      <name val="Arial"/>
      <family val="2"/>
    </font>
    <font>
      <i/>
      <sz val="8"/>
      <color rgb="FF66737C"/>
      <name val="Arial"/>
      <family val="2"/>
    </font>
    <font>
      <b/>
      <sz val="11"/>
      <color rgb="FF253846"/>
      <name val="Arial"/>
      <family val="2"/>
    </font>
    <font>
      <b/>
      <sz val="11"/>
      <color theme="3" tint="-0.499984740745262"/>
      <name val="Arial"/>
      <family val="2"/>
    </font>
    <font>
      <sz val="11"/>
      <color theme="3" tint="-0.499984740745262"/>
      <name val="Calibri"/>
      <family val="2"/>
    </font>
    <font>
      <sz val="11"/>
      <color theme="1"/>
      <name val="Calibri"/>
      <family val="2"/>
      <charset val="1"/>
    </font>
    <font>
      <sz val="11"/>
      <color rgb="FFFF0000"/>
      <name val="Calibri"/>
      <family val="2"/>
    </font>
    <font>
      <b/>
      <sz val="11"/>
      <name val="Calibri"/>
      <family val="2"/>
    </font>
    <font>
      <sz val="11"/>
      <color theme="1"/>
      <name val="Aptos Narrow"/>
      <family val="2"/>
    </font>
    <font>
      <sz val="11"/>
      <color rgb="FF000000"/>
      <name val="Calibri"/>
      <family val="2"/>
    </font>
  </fonts>
  <fills count="13">
    <fill>
      <patternFill patternType="none"/>
    </fill>
    <fill>
      <patternFill patternType="gray125"/>
    </fill>
    <fill>
      <patternFill patternType="solid">
        <fgColor theme="1"/>
      </patternFill>
    </fill>
    <fill>
      <patternFill patternType="solid">
        <fgColor theme="9"/>
      </patternFill>
    </fill>
    <fill>
      <patternFill patternType="solid">
        <fgColor theme="3" tint="0.59996337778862885"/>
        <bgColor indexed="65"/>
      </patternFill>
    </fill>
    <fill>
      <patternFill patternType="solid">
        <fgColor rgb="FF253846"/>
      </patternFill>
    </fill>
    <fill>
      <patternFill patternType="solid">
        <fgColor rgb="FFF3F5F6"/>
      </patternFill>
    </fill>
    <fill>
      <patternFill patternType="solid">
        <fgColor rgb="FFFDE76A"/>
      </patternFill>
    </fill>
    <fill>
      <patternFill patternType="solid">
        <fgColor rgb="FF228B22"/>
      </patternFill>
    </fill>
    <fill>
      <patternFill patternType="solid">
        <fgColor rgb="FFFFF6D5"/>
      </patternFill>
    </fill>
    <fill>
      <patternFill patternType="solid">
        <fgColor rgb="FFDCE4E8"/>
      </patternFill>
    </fill>
    <fill>
      <patternFill patternType="solid">
        <fgColor theme="0"/>
        <bgColor indexed="64"/>
      </patternFill>
    </fill>
    <fill>
      <patternFill patternType="solid">
        <fgColor theme="5"/>
        <bgColor indexed="64"/>
      </patternFill>
    </fill>
  </fills>
  <borders count="14">
    <border>
      <left/>
      <right/>
      <top/>
      <bottom/>
      <diagonal/>
    </border>
    <border>
      <left style="thin">
        <color rgb="FFBFBFBF"/>
      </left>
      <right style="thin">
        <color rgb="FFBFBFBF"/>
      </right>
      <top style="thin">
        <color rgb="FFBFBFBF"/>
      </top>
      <bottom style="thin">
        <color rgb="FFBFBFBF"/>
      </bottom>
      <diagonal/>
    </border>
    <border>
      <left style="thin">
        <color rgb="FFCCD3D7"/>
      </left>
      <right/>
      <top style="thin">
        <color rgb="FFCCD3D7"/>
      </top>
      <bottom/>
      <diagonal/>
    </border>
    <border>
      <left/>
      <right style="thin">
        <color rgb="FFCCD3D7"/>
      </right>
      <top style="thin">
        <color rgb="FFCCD3D7"/>
      </top>
      <bottom/>
      <diagonal/>
    </border>
    <border>
      <left style="thin">
        <color rgb="FFCCD3D7"/>
      </left>
      <right/>
      <top/>
      <bottom style="thin">
        <color rgb="FFCCD3D7"/>
      </bottom>
      <diagonal/>
    </border>
    <border>
      <left/>
      <right style="thin">
        <color rgb="FFCCD3D7"/>
      </right>
      <top/>
      <bottom style="thin">
        <color rgb="FFCCD3D7"/>
      </bottom>
      <diagonal/>
    </border>
    <border>
      <left/>
      <right/>
      <top style="medium">
        <color rgb="FF253846"/>
      </top>
      <bottom style="hair">
        <color rgb="FFD9DEE1"/>
      </bottom>
      <diagonal/>
    </border>
    <border>
      <left style="medium">
        <color rgb="FFCCCCCC"/>
      </left>
      <right style="medium">
        <color rgb="FFBFBFBF"/>
      </right>
      <top style="medium">
        <color rgb="FFBFBFBF"/>
      </top>
      <bottom style="medium">
        <color rgb="FFBFBFBF"/>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CCCCCC"/>
      </left>
      <right/>
      <top style="medium">
        <color rgb="FFCCCCCC"/>
      </top>
      <bottom style="medium">
        <color rgb="FFCCCCCC"/>
      </bottom>
      <diagonal/>
    </border>
    <border>
      <left style="medium">
        <color rgb="FFBFBFBF"/>
      </left>
      <right style="medium">
        <color rgb="FFBFBFBF"/>
      </right>
      <top style="medium">
        <color rgb="FFBFBFBF"/>
      </top>
      <bottom style="medium">
        <color rgb="FFBFBFBF"/>
      </bottom>
      <diagonal/>
    </border>
    <border>
      <left style="medium">
        <color rgb="FFBFBFBF"/>
      </left>
      <right style="medium">
        <color rgb="FFBFBFBF"/>
      </right>
      <top style="medium">
        <color rgb="FFCCCCCC"/>
      </top>
      <bottom style="medium">
        <color rgb="FFBFBFBF"/>
      </bottom>
      <diagonal/>
    </border>
    <border>
      <left style="medium">
        <color rgb="FFCCCCCC"/>
      </left>
      <right style="medium">
        <color rgb="FFBFBFBF"/>
      </right>
      <top style="medium">
        <color rgb="FFCCCCCC"/>
      </top>
      <bottom style="medium">
        <color rgb="FFBFBFBF"/>
      </bottom>
      <diagonal/>
    </border>
  </borders>
  <cellStyleXfs count="2">
    <xf numFmtId="0" fontId="0" fillId="0" borderId="0"/>
    <xf numFmtId="0" fontId="23" fillId="0" borderId="0"/>
  </cellStyleXfs>
  <cellXfs count="78">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0" borderId="0" xfId="0" applyFont="1"/>
    <xf numFmtId="0" fontId="5" fillId="3" borderId="0" xfId="0" applyFont="1" applyFill="1"/>
    <xf numFmtId="0" fontId="5" fillId="3" borderId="0" xfId="0" applyFont="1" applyFill="1" applyAlignment="1">
      <alignment horizontal="right"/>
    </xf>
    <xf numFmtId="0" fontId="0" fillId="0" borderId="0" xfId="0" applyAlignment="1">
      <alignment horizontal="right"/>
    </xf>
    <xf numFmtId="0" fontId="6" fillId="4" borderId="0" xfId="0" applyFont="1" applyFill="1"/>
    <xf numFmtId="3" fontId="6" fillId="4" borderId="0" xfId="0" applyNumberFormat="1" applyFont="1" applyFill="1"/>
    <xf numFmtId="0" fontId="6" fillId="4" borderId="0" xfId="0" applyFont="1" applyFill="1" applyAlignment="1">
      <alignment horizontal="right"/>
    </xf>
    <xf numFmtId="0" fontId="7" fillId="4" borderId="0" xfId="0" applyFont="1" applyFill="1"/>
    <xf numFmtId="165" fontId="5" fillId="3" borderId="0" xfId="0" applyNumberFormat="1" applyFont="1" applyFill="1"/>
    <xf numFmtId="165" fontId="0" fillId="0" borderId="0" xfId="0" applyNumberFormat="1"/>
    <xf numFmtId="165" fontId="6" fillId="4" borderId="0" xfId="0" applyNumberFormat="1" applyFont="1" applyFill="1"/>
    <xf numFmtId="0" fontId="8" fillId="0" borderId="0" xfId="0" applyFont="1"/>
    <xf numFmtId="0" fontId="13" fillId="0" borderId="0" xfId="0" applyFont="1"/>
    <xf numFmtId="0" fontId="14" fillId="7" borderId="0" xfId="0" applyFont="1" applyFill="1"/>
    <xf numFmtId="164" fontId="14" fillId="7" borderId="0" xfId="0" applyNumberFormat="1" applyFont="1" applyFill="1"/>
    <xf numFmtId="166" fontId="14" fillId="7" borderId="0" xfId="0" applyNumberFormat="1" applyFont="1" applyFill="1"/>
    <xf numFmtId="0" fontId="13" fillId="10" borderId="0" xfId="0" applyFont="1" applyFill="1" applyAlignment="1">
      <alignment horizontal="center" vertical="center" wrapText="1"/>
    </xf>
    <xf numFmtId="0" fontId="16" fillId="0" borderId="0" xfId="0" applyFont="1" applyAlignment="1">
      <alignment wrapText="1"/>
    </xf>
    <xf numFmtId="0" fontId="16" fillId="0" borderId="0" xfId="0" applyFont="1" applyAlignment="1">
      <alignment horizontal="center"/>
    </xf>
    <xf numFmtId="168" fontId="16" fillId="0" borderId="0" xfId="0" applyNumberFormat="1" applyFont="1" applyAlignment="1">
      <alignment horizontal="right"/>
    </xf>
    <xf numFmtId="166" fontId="16" fillId="0" borderId="0" xfId="0" applyNumberFormat="1" applyFont="1" applyAlignment="1">
      <alignment horizontal="right"/>
    </xf>
    <xf numFmtId="0" fontId="13" fillId="0" borderId="6" xfId="0" applyFont="1" applyBorder="1"/>
    <xf numFmtId="168" fontId="13" fillId="0" borderId="6" xfId="0" applyNumberFormat="1" applyFont="1" applyBorder="1" applyAlignment="1">
      <alignment horizontal="right"/>
    </xf>
    <xf numFmtId="166" fontId="13" fillId="0" borderId="6" xfId="0" applyNumberFormat="1" applyFont="1" applyBorder="1" applyAlignment="1">
      <alignment horizontal="right"/>
    </xf>
    <xf numFmtId="0" fontId="17" fillId="0" borderId="0" xfId="0" applyFont="1" applyAlignment="1">
      <alignment horizontal="center"/>
    </xf>
    <xf numFmtId="170" fontId="18" fillId="0" borderId="0" xfId="0" applyNumberFormat="1" applyFont="1"/>
    <xf numFmtId="0" fontId="13" fillId="10" borderId="0" xfId="0" applyFont="1" applyFill="1" applyAlignment="1">
      <alignment horizontal="center"/>
    </xf>
    <xf numFmtId="164" fontId="13" fillId="10" borderId="0" xfId="0" applyNumberFormat="1" applyFont="1" applyFill="1" applyAlignment="1">
      <alignment horizontal="center"/>
    </xf>
    <xf numFmtId="0" fontId="20" fillId="9" borderId="0" xfId="0" applyFont="1" applyFill="1" applyAlignment="1">
      <alignment horizontal="center"/>
    </xf>
    <xf numFmtId="167" fontId="20" fillId="9" borderId="0" xfId="0" applyNumberFormat="1" applyFont="1" applyFill="1" applyAlignment="1">
      <alignment horizontal="center"/>
    </xf>
    <xf numFmtId="164" fontId="8" fillId="0" borderId="0" xfId="0" applyNumberFormat="1" applyFont="1"/>
    <xf numFmtId="170" fontId="8" fillId="0" borderId="0" xfId="0" applyNumberFormat="1" applyFont="1"/>
    <xf numFmtId="9" fontId="0" fillId="0" borderId="0" xfId="0" applyNumberFormat="1"/>
    <xf numFmtId="10" fontId="0" fillId="0" borderId="0" xfId="0" applyNumberFormat="1"/>
    <xf numFmtId="171" fontId="0" fillId="0" borderId="0" xfId="0" applyNumberFormat="1"/>
    <xf numFmtId="0" fontId="7" fillId="11" borderId="0" xfId="0" applyFont="1" applyFill="1"/>
    <xf numFmtId="171" fontId="21" fillId="0" borderId="0" xfId="0" applyNumberFormat="1" applyFont="1"/>
    <xf numFmtId="9" fontId="22" fillId="0" borderId="0" xfId="0" applyNumberFormat="1" applyFont="1"/>
    <xf numFmtId="10" fontId="22" fillId="0" borderId="0" xfId="0" applyNumberFormat="1" applyFont="1"/>
    <xf numFmtId="0" fontId="7" fillId="0" borderId="0" xfId="0" applyFont="1"/>
    <xf numFmtId="0" fontId="8" fillId="0" borderId="7" xfId="0" applyFont="1" applyBorder="1" applyAlignment="1">
      <alignment vertical="top" wrapText="1"/>
    </xf>
    <xf numFmtId="0" fontId="5" fillId="3" borderId="0" xfId="0" applyFont="1" applyFill="1" applyAlignment="1">
      <alignment horizontal="center"/>
    </xf>
    <xf numFmtId="0" fontId="6" fillId="4" borderId="0" xfId="0" applyFont="1" applyFill="1" applyAlignment="1">
      <alignment horizontal="center"/>
    </xf>
    <xf numFmtId="0" fontId="0" fillId="0" borderId="0" xfId="0" applyAlignment="1">
      <alignment horizontal="center"/>
    </xf>
    <xf numFmtId="0" fontId="7" fillId="0" borderId="0" xfId="0" applyFont="1" applyAlignment="1">
      <alignment horizontal="center"/>
    </xf>
    <xf numFmtId="0" fontId="24" fillId="12" borderId="0" xfId="0" applyFont="1" applyFill="1"/>
    <xf numFmtId="0" fontId="25" fillId="12" borderId="0" xfId="0" applyFont="1" applyFill="1"/>
    <xf numFmtId="3" fontId="25" fillId="12" borderId="0" xfId="0" applyNumberFormat="1" applyFont="1" applyFill="1"/>
    <xf numFmtId="0" fontId="26" fillId="0" borderId="8" xfId="0" applyFont="1" applyBorder="1" applyAlignment="1">
      <alignment wrapText="1"/>
    </xf>
    <xf numFmtId="0" fontId="7" fillId="0" borderId="9" xfId="0" applyFont="1" applyBorder="1" applyAlignment="1">
      <alignment vertical="top" wrapText="1"/>
    </xf>
    <xf numFmtId="0" fontId="8" fillId="0" borderId="8" xfId="0" applyFont="1" applyBorder="1" applyAlignment="1">
      <alignment wrapText="1"/>
    </xf>
    <xf numFmtId="0" fontId="8" fillId="0" borderId="10" xfId="0" applyFont="1" applyBorder="1" applyAlignment="1">
      <alignment horizontal="right" wrapText="1"/>
    </xf>
    <xf numFmtId="0" fontId="8" fillId="0" borderId="11" xfId="0" applyFont="1" applyBorder="1" applyAlignment="1">
      <alignment wrapText="1"/>
    </xf>
    <xf numFmtId="0" fontId="8" fillId="0" borderId="7" xfId="0" applyFont="1" applyBorder="1" applyAlignment="1">
      <alignment wrapText="1"/>
    </xf>
    <xf numFmtId="3" fontId="8" fillId="0" borderId="7" xfId="0" applyNumberFormat="1" applyFont="1" applyBorder="1" applyAlignment="1">
      <alignment horizontal="right" wrapText="1"/>
    </xf>
    <xf numFmtId="0" fontId="8" fillId="0" borderId="12" xfId="0" applyFont="1" applyBorder="1" applyAlignment="1">
      <alignment wrapText="1"/>
    </xf>
    <xf numFmtId="0" fontId="8" fillId="0" borderId="13" xfId="0" applyFont="1" applyBorder="1" applyAlignment="1">
      <alignment wrapText="1"/>
    </xf>
    <xf numFmtId="3" fontId="8" fillId="0" borderId="13" xfId="0" applyNumberFormat="1" applyFont="1" applyBorder="1" applyAlignment="1">
      <alignment horizontal="right" wrapText="1"/>
    </xf>
    <xf numFmtId="0" fontId="27" fillId="0" borderId="0" xfId="0" applyFont="1" applyAlignment="1">
      <alignment horizontal="center"/>
    </xf>
    <xf numFmtId="0" fontId="9" fillId="5" borderId="0" xfId="0" applyFont="1" applyFill="1" applyAlignment="1">
      <alignment vertical="center"/>
    </xf>
    <xf numFmtId="0" fontId="11" fillId="0" borderId="0" xfId="0" applyFont="1" applyAlignment="1">
      <alignment vertical="center"/>
    </xf>
    <xf numFmtId="0" fontId="10" fillId="6" borderId="2" xfId="0" applyFont="1" applyFill="1" applyBorder="1" applyAlignment="1">
      <alignment horizontal="center" vertical="center" wrapText="1"/>
    </xf>
    <xf numFmtId="0" fontId="10" fillId="6" borderId="3" xfId="0" applyFont="1" applyFill="1" applyBorder="1" applyAlignment="1">
      <alignment horizontal="center" vertical="center" wrapText="1"/>
    </xf>
    <xf numFmtId="0" fontId="10" fillId="6" borderId="4" xfId="0" applyFont="1" applyFill="1" applyBorder="1" applyAlignment="1">
      <alignment horizontal="center" vertical="center" wrapText="1"/>
    </xf>
    <xf numFmtId="0" fontId="10" fillId="6" borderId="5" xfId="0" applyFont="1" applyFill="1" applyBorder="1" applyAlignment="1">
      <alignment horizontal="center" vertical="center" wrapText="1"/>
    </xf>
    <xf numFmtId="0" fontId="12" fillId="8" borderId="0" xfId="0" applyFont="1" applyFill="1" applyAlignment="1">
      <alignment horizontal="center" vertical="center"/>
    </xf>
    <xf numFmtId="167" fontId="15" fillId="9" borderId="0" xfId="0" applyNumberFormat="1" applyFont="1" applyFill="1" applyAlignment="1">
      <alignment horizontal="center" vertical="center"/>
    </xf>
    <xf numFmtId="0" fontId="15" fillId="9" borderId="0" xfId="0" applyFont="1" applyFill="1" applyAlignment="1">
      <alignment horizontal="center" vertical="center"/>
    </xf>
    <xf numFmtId="0" fontId="12" fillId="8" borderId="0" xfId="0" applyFont="1" applyFill="1" applyAlignment="1">
      <alignment horizontal="center" vertical="center" wrapText="1"/>
    </xf>
    <xf numFmtId="0" fontId="19" fillId="0" borderId="0" xfId="0" applyFont="1" applyAlignment="1">
      <alignment vertical="top" wrapText="1"/>
    </xf>
    <xf numFmtId="0" fontId="3" fillId="5" borderId="0" xfId="0" applyFont="1" applyFill="1"/>
    <xf numFmtId="172" fontId="11" fillId="9" borderId="0" xfId="0" applyNumberFormat="1" applyFont="1" applyFill="1" applyAlignment="1">
      <alignment horizontal="center" vertical="center"/>
    </xf>
    <xf numFmtId="169" fontId="11" fillId="9" borderId="0" xfId="0" applyNumberFormat="1" applyFont="1" applyFill="1" applyAlignment="1">
      <alignment horizontal="center" vertical="center"/>
    </xf>
    <xf numFmtId="170" fontId="11" fillId="9" borderId="0" xfId="0" applyNumberFormat="1" applyFont="1" applyFill="1" applyAlignment="1">
      <alignment horizontal="center" vertical="center"/>
    </xf>
  </cellXfs>
  <cellStyles count="2">
    <cellStyle name="Normal" xfId="0" builtinId="0"/>
    <cellStyle name="Normal 2" xfId="1" xr:uid="{E8E884F8-FED1-42B5-A910-2C1C8BA50DD6}"/>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9"/>
  <sheetViews>
    <sheetView topLeftCell="A12" workbookViewId="0">
      <selection activeCell="F38" sqref="F38"/>
    </sheetView>
  </sheetViews>
  <sheetFormatPr defaultColWidth="8.6328125" defaultRowHeight="14.5" x14ac:dyDescent="0.35"/>
  <cols>
    <col min="1" max="1" width="5" customWidth="1"/>
    <col min="2" max="2" width="58.08984375" bestFit="1" customWidth="1"/>
    <col min="3" max="3" width="83.81640625" bestFit="1" customWidth="1"/>
    <col min="4" max="4" width="19.1796875" bestFit="1" customWidth="1"/>
    <col min="5" max="5" width="8" customWidth="1"/>
    <col min="6" max="6" width="18" customWidth="1"/>
  </cols>
  <sheetData>
    <row r="1" spans="1:6" ht="18" x14ac:dyDescent="0.4">
      <c r="A1" s="1" t="s">
        <v>149</v>
      </c>
    </row>
    <row r="2" spans="1:6" x14ac:dyDescent="0.35">
      <c r="A2" s="2"/>
    </row>
    <row r="4" spans="1:6" ht="20" customHeight="1" thickBot="1" x14ac:dyDescent="0.4">
      <c r="A4" s="3" t="s">
        <v>4</v>
      </c>
      <c r="B4" s="3" t="s">
        <v>5</v>
      </c>
      <c r="C4" s="3" t="s">
        <v>6</v>
      </c>
      <c r="D4" s="3" t="s">
        <v>7</v>
      </c>
      <c r="E4" s="3" t="s">
        <v>0</v>
      </c>
      <c r="F4" s="3" t="s">
        <v>8</v>
      </c>
    </row>
    <row r="5" spans="1:6" ht="20" customHeight="1" thickBot="1" x14ac:dyDescent="0.4">
      <c r="A5" s="44">
        <v>1</v>
      </c>
      <c r="B5" s="56" t="s">
        <v>62</v>
      </c>
      <c r="C5" s="57" t="s">
        <v>63</v>
      </c>
      <c r="D5" s="57" t="s">
        <v>64</v>
      </c>
      <c r="E5" s="57" t="s">
        <v>2</v>
      </c>
      <c r="F5" s="58">
        <v>1557680</v>
      </c>
    </row>
    <row r="6" spans="1:6" ht="20" customHeight="1" thickBot="1" x14ac:dyDescent="0.4">
      <c r="A6" s="44">
        <v>2</v>
      </c>
      <c r="B6" s="59" t="s">
        <v>65</v>
      </c>
      <c r="C6" s="60" t="s">
        <v>66</v>
      </c>
      <c r="D6" s="60" t="s">
        <v>67</v>
      </c>
      <c r="E6" s="60" t="s">
        <v>2</v>
      </c>
      <c r="F6" s="61">
        <v>1193232</v>
      </c>
    </row>
    <row r="7" spans="1:6" ht="20" customHeight="1" thickBot="1" x14ac:dyDescent="0.4">
      <c r="A7" s="44">
        <v>3</v>
      </c>
      <c r="B7" s="59" t="s">
        <v>68</v>
      </c>
      <c r="C7" s="60" t="s">
        <v>69</v>
      </c>
      <c r="D7" s="60" t="s">
        <v>70</v>
      </c>
      <c r="E7" s="60" t="s">
        <v>2</v>
      </c>
      <c r="F7" s="61">
        <v>965751</v>
      </c>
    </row>
    <row r="8" spans="1:6" ht="20" customHeight="1" thickBot="1" x14ac:dyDescent="0.4">
      <c r="A8" s="44">
        <v>4</v>
      </c>
      <c r="B8" s="59" t="s">
        <v>71</v>
      </c>
      <c r="C8" s="60" t="s">
        <v>72</v>
      </c>
      <c r="D8" s="60" t="s">
        <v>73</v>
      </c>
      <c r="E8" s="60" t="s">
        <v>2</v>
      </c>
      <c r="F8" s="61">
        <v>658886</v>
      </c>
    </row>
    <row r="9" spans="1:6" ht="20" customHeight="1" thickBot="1" x14ac:dyDescent="0.4">
      <c r="A9" s="44">
        <v>5</v>
      </c>
      <c r="B9" s="59" t="s">
        <v>74</v>
      </c>
      <c r="C9" s="60" t="s">
        <v>75</v>
      </c>
      <c r="D9" s="60" t="s">
        <v>76</v>
      </c>
      <c r="E9" s="60" t="s">
        <v>2</v>
      </c>
      <c r="F9" s="61">
        <v>340579</v>
      </c>
    </row>
    <row r="10" spans="1:6" ht="20" customHeight="1" thickBot="1" x14ac:dyDescent="0.4">
      <c r="A10" s="44">
        <v>6</v>
      </c>
      <c r="B10" s="59" t="s">
        <v>77</v>
      </c>
      <c r="C10" s="60" t="s">
        <v>78</v>
      </c>
      <c r="D10" s="60" t="s">
        <v>79</v>
      </c>
      <c r="E10" s="60" t="s">
        <v>2</v>
      </c>
      <c r="F10" s="61">
        <v>362283</v>
      </c>
    </row>
    <row r="11" spans="1:6" ht="20" customHeight="1" thickBot="1" x14ac:dyDescent="0.4">
      <c r="A11" s="44">
        <v>7</v>
      </c>
      <c r="B11" s="59" t="s">
        <v>80</v>
      </c>
      <c r="C11" s="60" t="s">
        <v>81</v>
      </c>
      <c r="D11" s="60" t="s">
        <v>82</v>
      </c>
      <c r="E11" s="60" t="s">
        <v>2</v>
      </c>
      <c r="F11" s="61">
        <v>321024</v>
      </c>
    </row>
    <row r="12" spans="1:6" ht="20" customHeight="1" thickBot="1" x14ac:dyDescent="0.4">
      <c r="A12" s="44">
        <v>8</v>
      </c>
      <c r="B12" s="59" t="s">
        <v>83</v>
      </c>
      <c r="C12" s="60" t="s">
        <v>84</v>
      </c>
      <c r="D12" s="60" t="s">
        <v>73</v>
      </c>
      <c r="E12" s="60" t="s">
        <v>2</v>
      </c>
      <c r="F12" s="61">
        <v>292053</v>
      </c>
    </row>
    <row r="13" spans="1:6" ht="20" customHeight="1" thickBot="1" x14ac:dyDescent="0.4">
      <c r="A13" s="44">
        <v>9</v>
      </c>
      <c r="B13" s="59" t="s">
        <v>85</v>
      </c>
      <c r="C13" s="60" t="s">
        <v>86</v>
      </c>
      <c r="D13" s="60" t="s">
        <v>87</v>
      </c>
      <c r="E13" s="60" t="s">
        <v>2</v>
      </c>
      <c r="F13" s="61">
        <v>246388</v>
      </c>
    </row>
    <row r="14" spans="1:6" ht="20" customHeight="1" thickBot="1" x14ac:dyDescent="0.4">
      <c r="A14" s="44">
        <v>10</v>
      </c>
      <c r="B14" s="59" t="s">
        <v>88</v>
      </c>
      <c r="C14" s="60" t="s">
        <v>89</v>
      </c>
      <c r="D14" s="60" t="s">
        <v>90</v>
      </c>
      <c r="E14" s="60" t="s">
        <v>2</v>
      </c>
      <c r="F14" s="61">
        <v>245117</v>
      </c>
    </row>
    <row r="15" spans="1:6" ht="20" customHeight="1" thickBot="1" x14ac:dyDescent="0.4">
      <c r="A15" s="44">
        <v>11</v>
      </c>
      <c r="B15" s="59" t="s">
        <v>91</v>
      </c>
      <c r="C15" s="60" t="s">
        <v>92</v>
      </c>
      <c r="D15" s="60" t="s">
        <v>64</v>
      </c>
      <c r="E15" s="60" t="s">
        <v>2</v>
      </c>
      <c r="F15" s="61">
        <v>187596</v>
      </c>
    </row>
    <row r="16" spans="1:6" ht="20" customHeight="1" thickBot="1" x14ac:dyDescent="0.4">
      <c r="A16" s="44">
        <v>12</v>
      </c>
      <c r="B16" s="59" t="s">
        <v>93</v>
      </c>
      <c r="C16" s="60" t="s">
        <v>94</v>
      </c>
      <c r="D16" s="60" t="s">
        <v>95</v>
      </c>
      <c r="E16" s="60" t="s">
        <v>2</v>
      </c>
      <c r="F16" s="61">
        <v>171822</v>
      </c>
    </row>
    <row r="17" spans="1:6" ht="20" customHeight="1" thickBot="1" x14ac:dyDescent="0.4">
      <c r="A17" s="44">
        <v>13</v>
      </c>
      <c r="B17" s="59" t="s">
        <v>96</v>
      </c>
      <c r="C17" s="60" t="s">
        <v>97</v>
      </c>
      <c r="D17" s="60" t="s">
        <v>98</v>
      </c>
      <c r="E17" s="60" t="s">
        <v>2</v>
      </c>
      <c r="F17" s="61">
        <v>172866</v>
      </c>
    </row>
    <row r="18" spans="1:6" ht="20" customHeight="1" thickBot="1" x14ac:dyDescent="0.4">
      <c r="A18" s="44">
        <v>14</v>
      </c>
      <c r="B18" s="59" t="s">
        <v>99</v>
      </c>
      <c r="C18" s="60" t="s">
        <v>100</v>
      </c>
      <c r="D18" s="60" t="s">
        <v>101</v>
      </c>
      <c r="E18" s="60" t="s">
        <v>2</v>
      </c>
      <c r="F18" s="61">
        <v>140011</v>
      </c>
    </row>
    <row r="19" spans="1:6" ht="20" customHeight="1" thickBot="1" x14ac:dyDescent="0.4">
      <c r="A19" s="44">
        <v>15</v>
      </c>
      <c r="B19" s="59" t="s">
        <v>102</v>
      </c>
      <c r="C19" s="60" t="s">
        <v>103</v>
      </c>
      <c r="D19" s="60" t="s">
        <v>90</v>
      </c>
      <c r="E19" s="60" t="s">
        <v>2</v>
      </c>
      <c r="F19" s="61">
        <v>127665</v>
      </c>
    </row>
    <row r="20" spans="1:6" ht="20" customHeight="1" thickBot="1" x14ac:dyDescent="0.4">
      <c r="A20" s="44">
        <v>16</v>
      </c>
      <c r="B20" s="59" t="s">
        <v>104</v>
      </c>
      <c r="C20" s="60" t="s">
        <v>105</v>
      </c>
      <c r="D20" s="60" t="s">
        <v>106</v>
      </c>
      <c r="E20" s="60" t="s">
        <v>57</v>
      </c>
      <c r="F20" s="61">
        <v>1235513</v>
      </c>
    </row>
    <row r="21" spans="1:6" ht="20" customHeight="1" thickBot="1" x14ac:dyDescent="0.4">
      <c r="A21" s="44">
        <v>17</v>
      </c>
      <c r="B21" s="59" t="s">
        <v>107</v>
      </c>
      <c r="C21" s="60" t="s">
        <v>108</v>
      </c>
      <c r="D21" s="60" t="s">
        <v>109</v>
      </c>
      <c r="E21" s="60" t="s">
        <v>57</v>
      </c>
      <c r="F21" s="61">
        <v>1243982</v>
      </c>
    </row>
    <row r="22" spans="1:6" ht="20" customHeight="1" thickBot="1" x14ac:dyDescent="0.4">
      <c r="A22" s="44">
        <v>18</v>
      </c>
      <c r="B22" s="59" t="s">
        <v>110</v>
      </c>
      <c r="C22" s="60" t="s">
        <v>111</v>
      </c>
      <c r="D22" s="60" t="s">
        <v>112</v>
      </c>
      <c r="E22" s="60" t="s">
        <v>57</v>
      </c>
      <c r="F22" s="61">
        <v>1094676</v>
      </c>
    </row>
    <row r="23" spans="1:6" ht="20" customHeight="1" thickBot="1" x14ac:dyDescent="0.4">
      <c r="A23" s="44">
        <v>19</v>
      </c>
      <c r="B23" s="59" t="s">
        <v>113</v>
      </c>
      <c r="C23" s="60" t="s">
        <v>114</v>
      </c>
      <c r="D23" s="60" t="s">
        <v>112</v>
      </c>
      <c r="E23" s="60" t="s">
        <v>57</v>
      </c>
      <c r="F23" s="61">
        <v>471231</v>
      </c>
    </row>
    <row r="24" spans="1:6" ht="20" customHeight="1" thickBot="1" x14ac:dyDescent="0.4">
      <c r="A24" s="44">
        <v>20</v>
      </c>
      <c r="B24" s="59" t="s">
        <v>115</v>
      </c>
      <c r="C24" s="60" t="s">
        <v>116</v>
      </c>
      <c r="D24" s="60" t="s">
        <v>117</v>
      </c>
      <c r="E24" s="60" t="s">
        <v>57</v>
      </c>
      <c r="F24" s="61">
        <v>361609</v>
      </c>
    </row>
    <row r="25" spans="1:6" ht="20" customHeight="1" thickBot="1" x14ac:dyDescent="0.4">
      <c r="A25" s="44">
        <v>21</v>
      </c>
      <c r="B25" s="59" t="s">
        <v>118</v>
      </c>
      <c r="C25" s="60" t="s">
        <v>119</v>
      </c>
      <c r="D25" s="60" t="s">
        <v>120</v>
      </c>
      <c r="E25" s="60" t="s">
        <v>57</v>
      </c>
      <c r="F25" s="61">
        <v>355580</v>
      </c>
    </row>
    <row r="26" spans="1:6" ht="20" customHeight="1" thickBot="1" x14ac:dyDescent="0.4">
      <c r="A26" s="44">
        <v>22</v>
      </c>
      <c r="B26" s="59" t="s">
        <v>121</v>
      </c>
      <c r="C26" s="60" t="s">
        <v>122</v>
      </c>
      <c r="D26" s="60" t="s">
        <v>123</v>
      </c>
      <c r="E26" s="60" t="s">
        <v>57</v>
      </c>
      <c r="F26" s="61">
        <v>322268</v>
      </c>
    </row>
    <row r="27" spans="1:6" ht="20" customHeight="1" thickBot="1" x14ac:dyDescent="0.4">
      <c r="A27" s="44">
        <v>23</v>
      </c>
      <c r="B27" s="59" t="s">
        <v>124</v>
      </c>
      <c r="C27" s="60" t="s">
        <v>125</v>
      </c>
      <c r="D27" s="60" t="s">
        <v>126</v>
      </c>
      <c r="E27" s="60" t="s">
        <v>57</v>
      </c>
      <c r="F27" s="61">
        <v>291758</v>
      </c>
    </row>
    <row r="28" spans="1:6" ht="20" customHeight="1" thickBot="1" x14ac:dyDescent="0.4">
      <c r="A28" s="44">
        <v>24</v>
      </c>
      <c r="B28" s="59" t="s">
        <v>127</v>
      </c>
      <c r="C28" s="60" t="s">
        <v>128</v>
      </c>
      <c r="D28" s="60" t="s">
        <v>129</v>
      </c>
      <c r="E28" s="60" t="s">
        <v>57</v>
      </c>
      <c r="F28" s="61">
        <v>217344</v>
      </c>
    </row>
    <row r="29" spans="1:6" ht="20" customHeight="1" thickBot="1" x14ac:dyDescent="0.4">
      <c r="A29" s="44">
        <v>25</v>
      </c>
      <c r="B29" s="59" t="s">
        <v>130</v>
      </c>
      <c r="C29" s="60" t="s">
        <v>131</v>
      </c>
      <c r="D29" s="60" t="s">
        <v>132</v>
      </c>
      <c r="E29" s="60" t="s">
        <v>57</v>
      </c>
      <c r="F29" s="61">
        <v>219628</v>
      </c>
    </row>
    <row r="30" spans="1:6" ht="20" customHeight="1" thickBot="1" x14ac:dyDescent="0.4">
      <c r="A30" s="44">
        <v>26</v>
      </c>
      <c r="B30" s="59" t="s">
        <v>133</v>
      </c>
      <c r="C30" s="60" t="s">
        <v>134</v>
      </c>
      <c r="D30" s="60" t="s">
        <v>135</v>
      </c>
      <c r="E30" s="60" t="s">
        <v>57</v>
      </c>
      <c r="F30" s="61">
        <v>192157</v>
      </c>
    </row>
    <row r="31" spans="1:6" ht="20" customHeight="1" thickBot="1" x14ac:dyDescent="0.4">
      <c r="A31" s="44">
        <v>27</v>
      </c>
      <c r="B31" s="59" t="s">
        <v>136</v>
      </c>
      <c r="C31" s="60" t="s">
        <v>137</v>
      </c>
      <c r="D31" s="60" t="s">
        <v>135</v>
      </c>
      <c r="E31" s="60" t="s">
        <v>57</v>
      </c>
      <c r="F31" s="61">
        <v>176405</v>
      </c>
    </row>
    <row r="32" spans="1:6" ht="20" customHeight="1" thickBot="1" x14ac:dyDescent="0.4">
      <c r="A32" s="44">
        <v>28</v>
      </c>
      <c r="B32" s="59" t="s">
        <v>138</v>
      </c>
      <c r="C32" s="60" t="s">
        <v>139</v>
      </c>
      <c r="D32" s="60" t="s">
        <v>109</v>
      </c>
      <c r="E32" s="60" t="s">
        <v>57</v>
      </c>
      <c r="F32" s="61">
        <v>154269</v>
      </c>
    </row>
    <row r="33" spans="1:6" ht="20" customHeight="1" thickBot="1" x14ac:dyDescent="0.4">
      <c r="A33" s="44">
        <v>29</v>
      </c>
      <c r="B33" s="59" t="s">
        <v>140</v>
      </c>
      <c r="C33" s="60" t="s">
        <v>141</v>
      </c>
      <c r="D33" s="60" t="s">
        <v>61</v>
      </c>
      <c r="E33" s="60" t="s">
        <v>57</v>
      </c>
      <c r="F33" s="61">
        <v>149346</v>
      </c>
    </row>
    <row r="34" spans="1:6" ht="20" customHeight="1" thickBot="1" x14ac:dyDescent="0.4">
      <c r="A34" s="44">
        <v>30</v>
      </c>
      <c r="B34" s="59" t="s">
        <v>142</v>
      </c>
      <c r="C34" s="60" t="s">
        <v>143</v>
      </c>
      <c r="D34" s="60" t="s">
        <v>144</v>
      </c>
      <c r="E34" s="60" t="s">
        <v>57</v>
      </c>
      <c r="F34" s="61">
        <v>127620</v>
      </c>
    </row>
    <row r="35" spans="1:6" ht="20" customHeight="1" thickBot="1" x14ac:dyDescent="0.4">
      <c r="A35" s="44">
        <v>31</v>
      </c>
      <c r="B35" s="59" t="s">
        <v>145</v>
      </c>
      <c r="C35" s="60" t="s">
        <v>146</v>
      </c>
      <c r="D35" s="60" t="s">
        <v>147</v>
      </c>
      <c r="E35" s="60" t="s">
        <v>57</v>
      </c>
      <c r="F35" s="61">
        <v>114910</v>
      </c>
    </row>
    <row r="36" spans="1:6" ht="15" thickBot="1" x14ac:dyDescent="0.4">
      <c r="A36" s="44"/>
    </row>
    <row r="37" spans="1:6" s="49" customFormat="1" ht="15" thickBot="1" x14ac:dyDescent="0.4">
      <c r="A37" s="44"/>
      <c r="B37" s="50" t="s">
        <v>60</v>
      </c>
      <c r="F37" s="51">
        <f>SUM(F5:F36)</f>
        <v>13711249</v>
      </c>
    </row>
    <row r="38" spans="1:6" ht="15" thickBot="1" x14ac:dyDescent="0.4">
      <c r="A38" s="44"/>
    </row>
    <row r="39" spans="1:6" ht="15" thickBot="1" x14ac:dyDescent="0.4">
      <c r="A39" s="4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75"/>
  <sheetViews>
    <sheetView topLeftCell="B1" zoomScaleNormal="100" workbookViewId="0">
      <selection activeCell="G61" sqref="G61:H64"/>
    </sheetView>
  </sheetViews>
  <sheetFormatPr defaultRowHeight="14.5" x14ac:dyDescent="0.35"/>
  <cols>
    <col min="1" max="1" width="57.36328125" bestFit="1" customWidth="1"/>
    <col min="2" max="2" width="23.453125" bestFit="1" customWidth="1"/>
    <col min="3" max="3" width="30" style="47" customWidth="1"/>
    <col min="4" max="4" width="28.90625" customWidth="1"/>
    <col min="5" max="5" width="22.08984375" customWidth="1"/>
    <col min="6" max="6" width="18.6328125" style="47" customWidth="1"/>
    <col min="7" max="7" width="27" customWidth="1"/>
    <col min="8" max="8" width="30.54296875" style="13" customWidth="1"/>
    <col min="9" max="9" width="30.54296875" style="13" bestFit="1" customWidth="1"/>
    <col min="10" max="10" width="37" style="13" bestFit="1" customWidth="1"/>
    <col min="11" max="11" width="28.90625" style="7" customWidth="1"/>
    <col min="12" max="12" width="18" style="13" customWidth="1"/>
    <col min="13" max="13" width="30.26953125" style="13" customWidth="1"/>
    <col min="15" max="15" width="18.6328125" customWidth="1"/>
    <col min="16" max="16" width="28.90625" customWidth="1"/>
    <col min="17" max="17" width="26.90625" customWidth="1"/>
  </cols>
  <sheetData>
    <row r="1" spans="1:13" ht="21.5" thickBot="1" x14ac:dyDescent="0.55000000000000004">
      <c r="A1" s="5" t="s">
        <v>5</v>
      </c>
      <c r="B1" s="5" t="s">
        <v>7</v>
      </c>
      <c r="C1" s="45" t="s">
        <v>0</v>
      </c>
      <c r="D1" s="5" t="s">
        <v>8</v>
      </c>
      <c r="E1" s="5" t="s">
        <v>9</v>
      </c>
      <c r="F1" s="45" t="s">
        <v>10</v>
      </c>
      <c r="G1" s="5" t="s">
        <v>11</v>
      </c>
      <c r="H1" s="12" t="s">
        <v>12</v>
      </c>
      <c r="I1" s="12" t="s">
        <v>13</v>
      </c>
      <c r="J1" s="12" t="s">
        <v>14</v>
      </c>
      <c r="K1" s="6" t="s">
        <v>15</v>
      </c>
      <c r="L1" s="12" t="s">
        <v>16</v>
      </c>
      <c r="M1" s="12" t="s">
        <v>17</v>
      </c>
    </row>
    <row r="2" spans="1:13" ht="15" thickBot="1" x14ac:dyDescent="0.4">
      <c r="A2" s="56" t="s">
        <v>62</v>
      </c>
      <c r="B2" s="57" t="s">
        <v>64</v>
      </c>
      <c r="C2" s="57" t="s">
        <v>2</v>
      </c>
      <c r="D2" s="58">
        <v>1557680</v>
      </c>
      <c r="E2">
        <f t="shared" ref="E2:E32" si="0">D2/100</f>
        <v>15576.8</v>
      </c>
      <c r="F2" s="47" t="s">
        <v>2</v>
      </c>
      <c r="G2" cm="1">
        <f t="array" ref="G2">IFERROR(INDEX($D$60:$F$74, MATCH(TRIM(F2),$C$60:$C$74,0), IF(E2&gt;2000,2,IF(E2&gt;=1000,1,3))), "Check region")</f>
        <v>45</v>
      </c>
      <c r="H2" s="13">
        <f t="shared" ref="H2:H32" si="1">ROUND(E2*G2,-3)</f>
        <v>701000</v>
      </c>
      <c r="I2" s="13">
        <f t="shared" ref="I2:I32" si="2">ROUND(H2*0.75,-3)</f>
        <v>526000</v>
      </c>
      <c r="J2" s="13">
        <f t="shared" ref="J2:J32" si="3">AVERAGE(H2:I2)</f>
        <v>613500</v>
      </c>
      <c r="K2" s="7" t="s">
        <v>59</v>
      </c>
      <c r="L2" s="13">
        <f>IF(K2="Yes",$D$75,0)</f>
        <v>100000</v>
      </c>
      <c r="M2" s="13">
        <f t="shared" ref="M2:M32" si="4">J2+L2</f>
        <v>713500</v>
      </c>
    </row>
    <row r="3" spans="1:13" ht="15" thickBot="1" x14ac:dyDescent="0.4">
      <c r="A3" s="59" t="s">
        <v>65</v>
      </c>
      <c r="B3" s="60" t="s">
        <v>67</v>
      </c>
      <c r="C3" s="60" t="s">
        <v>2</v>
      </c>
      <c r="D3" s="61">
        <v>1193232</v>
      </c>
      <c r="E3">
        <f t="shared" si="0"/>
        <v>11932.32</v>
      </c>
      <c r="F3" s="47" t="s">
        <v>2</v>
      </c>
      <c r="G3" cm="1">
        <f t="array" ref="G3">IFERROR(INDEX($D$60:$F$74, MATCH(TRIM(F3),$C$60:$C$74,0), IF(E3&gt;2000,2,IF(E3&gt;=1000,1,3))), "Check region")</f>
        <v>45</v>
      </c>
      <c r="H3" s="13">
        <f t="shared" si="1"/>
        <v>537000</v>
      </c>
      <c r="I3" s="13">
        <f t="shared" si="2"/>
        <v>403000</v>
      </c>
      <c r="J3" s="13">
        <f t="shared" si="3"/>
        <v>470000</v>
      </c>
      <c r="K3" s="7" t="s">
        <v>59</v>
      </c>
      <c r="L3" s="13">
        <f t="shared" ref="L3:L32" si="5">IF(K3="Yes",$D$75,0)</f>
        <v>100000</v>
      </c>
      <c r="M3" s="13">
        <f t="shared" si="4"/>
        <v>570000</v>
      </c>
    </row>
    <row r="4" spans="1:13" ht="15" thickBot="1" x14ac:dyDescent="0.4">
      <c r="A4" s="59" t="s">
        <v>68</v>
      </c>
      <c r="B4" s="60" t="s">
        <v>70</v>
      </c>
      <c r="C4" s="60" t="s">
        <v>2</v>
      </c>
      <c r="D4" s="61">
        <v>965751</v>
      </c>
      <c r="E4">
        <f t="shared" si="0"/>
        <v>9657.51</v>
      </c>
      <c r="F4" s="47" t="s">
        <v>2</v>
      </c>
      <c r="G4" cm="1">
        <f t="array" ref="G4">IFERROR(INDEX($D$60:$F$74, MATCH(TRIM(F4),$C$60:$C$74,0), IF(E4&gt;2000,2,IF(E4&gt;=1000,1,3))), "Check region")</f>
        <v>45</v>
      </c>
      <c r="H4" s="13">
        <f t="shared" si="1"/>
        <v>435000</v>
      </c>
      <c r="I4" s="13">
        <f t="shared" si="2"/>
        <v>326000</v>
      </c>
      <c r="J4" s="13">
        <f t="shared" si="3"/>
        <v>380500</v>
      </c>
      <c r="K4" s="7" t="s">
        <v>59</v>
      </c>
      <c r="L4" s="13">
        <f t="shared" si="5"/>
        <v>100000</v>
      </c>
      <c r="M4" s="13">
        <f t="shared" si="4"/>
        <v>480500</v>
      </c>
    </row>
    <row r="5" spans="1:13" ht="15" thickBot="1" x14ac:dyDescent="0.4">
      <c r="A5" s="59" t="s">
        <v>71</v>
      </c>
      <c r="B5" s="60" t="s">
        <v>73</v>
      </c>
      <c r="C5" s="60" t="s">
        <v>2</v>
      </c>
      <c r="D5" s="61">
        <v>658886</v>
      </c>
      <c r="E5">
        <f t="shared" si="0"/>
        <v>6588.86</v>
      </c>
      <c r="F5" s="47" t="s">
        <v>2</v>
      </c>
      <c r="G5" cm="1">
        <f t="array" ref="G5">IFERROR(INDEX($D$60:$F$74, MATCH(TRIM(F5),$C$60:$C$74,0), IF(E5&gt;2000,2,IF(E5&gt;=1000,1,3))), "Check region")</f>
        <v>45</v>
      </c>
      <c r="H5" s="13">
        <f t="shared" si="1"/>
        <v>296000</v>
      </c>
      <c r="I5" s="13">
        <f t="shared" si="2"/>
        <v>222000</v>
      </c>
      <c r="J5" s="13">
        <f t="shared" si="3"/>
        <v>259000</v>
      </c>
      <c r="K5" s="7" t="s">
        <v>59</v>
      </c>
      <c r="L5" s="13">
        <f t="shared" si="5"/>
        <v>100000</v>
      </c>
      <c r="M5" s="13">
        <f t="shared" si="4"/>
        <v>359000</v>
      </c>
    </row>
    <row r="6" spans="1:13" ht="15" thickBot="1" x14ac:dyDescent="0.4">
      <c r="A6" s="59" t="s">
        <v>74</v>
      </c>
      <c r="B6" s="60" t="s">
        <v>76</v>
      </c>
      <c r="C6" s="60" t="s">
        <v>2</v>
      </c>
      <c r="D6" s="61">
        <v>340579</v>
      </c>
      <c r="E6">
        <f t="shared" si="0"/>
        <v>3405.79</v>
      </c>
      <c r="F6" s="47" t="s">
        <v>2</v>
      </c>
      <c r="G6" cm="1">
        <f t="array" ref="G6">IFERROR(INDEX($D$60:$F$74, MATCH(TRIM(F6),$C$60:$C$74,0), IF(E6&gt;2000,2,IF(E6&gt;=1000,1,3))), "Check region")</f>
        <v>45</v>
      </c>
      <c r="H6" s="13">
        <f t="shared" si="1"/>
        <v>153000</v>
      </c>
      <c r="I6" s="13">
        <f t="shared" si="2"/>
        <v>115000</v>
      </c>
      <c r="J6" s="13">
        <f t="shared" si="3"/>
        <v>134000</v>
      </c>
      <c r="K6" s="7" t="s">
        <v>59</v>
      </c>
      <c r="L6" s="13">
        <f t="shared" si="5"/>
        <v>100000</v>
      </c>
      <c r="M6" s="13">
        <f t="shared" si="4"/>
        <v>234000</v>
      </c>
    </row>
    <row r="7" spans="1:13" ht="15" thickBot="1" x14ac:dyDescent="0.4">
      <c r="A7" s="59" t="s">
        <v>77</v>
      </c>
      <c r="B7" s="60" t="s">
        <v>79</v>
      </c>
      <c r="C7" s="60" t="s">
        <v>2</v>
      </c>
      <c r="D7" s="61">
        <v>362283</v>
      </c>
      <c r="E7">
        <f t="shared" si="0"/>
        <v>3622.83</v>
      </c>
      <c r="F7" s="47" t="s">
        <v>2</v>
      </c>
      <c r="G7" cm="1">
        <f t="array" ref="G7">IFERROR(INDEX($D$60:$F$74, MATCH(TRIM(F7),$C$60:$C$74,0), IF(E7&gt;2000,2,IF(E7&gt;=1000,1,3))), "Check region")</f>
        <v>45</v>
      </c>
      <c r="H7" s="13">
        <f t="shared" si="1"/>
        <v>163000</v>
      </c>
      <c r="I7" s="13">
        <f t="shared" si="2"/>
        <v>122000</v>
      </c>
      <c r="J7" s="13">
        <f t="shared" si="3"/>
        <v>142500</v>
      </c>
      <c r="K7" s="7" t="s">
        <v>59</v>
      </c>
      <c r="L7" s="13">
        <f t="shared" si="5"/>
        <v>100000</v>
      </c>
      <c r="M7" s="13">
        <f t="shared" si="4"/>
        <v>242500</v>
      </c>
    </row>
    <row r="8" spans="1:13" ht="15" thickBot="1" x14ac:dyDescent="0.4">
      <c r="A8" s="59" t="s">
        <v>80</v>
      </c>
      <c r="B8" s="60" t="s">
        <v>82</v>
      </c>
      <c r="C8" s="60" t="s">
        <v>2</v>
      </c>
      <c r="D8" s="61">
        <v>321024</v>
      </c>
      <c r="E8">
        <f t="shared" si="0"/>
        <v>3210.24</v>
      </c>
      <c r="F8" s="47" t="s">
        <v>2</v>
      </c>
      <c r="G8" cm="1">
        <f t="array" ref="G8">IFERROR(INDEX($D$60:$F$74, MATCH(TRIM(F8),$C$60:$C$74,0), IF(E8&gt;2000,2,IF(E8&gt;=1000,1,3))), "Check region")</f>
        <v>45</v>
      </c>
      <c r="H8" s="13">
        <f t="shared" si="1"/>
        <v>144000</v>
      </c>
      <c r="I8" s="13">
        <f t="shared" si="2"/>
        <v>108000</v>
      </c>
      <c r="J8" s="13">
        <f t="shared" si="3"/>
        <v>126000</v>
      </c>
      <c r="K8" s="7" t="s">
        <v>59</v>
      </c>
      <c r="L8" s="13">
        <f t="shared" si="5"/>
        <v>100000</v>
      </c>
      <c r="M8" s="13">
        <f t="shared" si="4"/>
        <v>226000</v>
      </c>
    </row>
    <row r="9" spans="1:13" ht="15" thickBot="1" x14ac:dyDescent="0.4">
      <c r="A9" s="59" t="s">
        <v>83</v>
      </c>
      <c r="B9" s="60" t="s">
        <v>73</v>
      </c>
      <c r="C9" s="60" t="s">
        <v>2</v>
      </c>
      <c r="D9" s="61">
        <v>292053</v>
      </c>
      <c r="E9">
        <f t="shared" si="0"/>
        <v>2920.53</v>
      </c>
      <c r="F9" s="47" t="s">
        <v>2</v>
      </c>
      <c r="G9" cm="1">
        <f t="array" ref="G9">IFERROR(INDEX($D$60:$F$74, MATCH(TRIM(F9),$C$60:$C$74,0), IF(E9&gt;2000,2,IF(E9&gt;=1000,1,3))), "Check region")</f>
        <v>45</v>
      </c>
      <c r="H9" s="13">
        <f t="shared" si="1"/>
        <v>131000</v>
      </c>
      <c r="I9" s="13">
        <f t="shared" si="2"/>
        <v>98000</v>
      </c>
      <c r="J9" s="13">
        <f t="shared" si="3"/>
        <v>114500</v>
      </c>
      <c r="K9" s="7" t="s">
        <v>59</v>
      </c>
      <c r="L9" s="13">
        <f t="shared" si="5"/>
        <v>100000</v>
      </c>
      <c r="M9" s="13">
        <f t="shared" si="4"/>
        <v>214500</v>
      </c>
    </row>
    <row r="10" spans="1:13" ht="15" thickBot="1" x14ac:dyDescent="0.4">
      <c r="A10" s="59" t="s">
        <v>85</v>
      </c>
      <c r="B10" s="60" t="s">
        <v>87</v>
      </c>
      <c r="C10" s="60" t="s">
        <v>2</v>
      </c>
      <c r="D10" s="61">
        <v>246388</v>
      </c>
      <c r="E10">
        <f t="shared" si="0"/>
        <v>2463.88</v>
      </c>
      <c r="F10" s="47" t="s">
        <v>2</v>
      </c>
      <c r="G10" cm="1">
        <f t="array" ref="G10">IFERROR(INDEX($D$60:$F$74, MATCH(TRIM(F10),$C$60:$C$74,0), IF(E10&gt;2000,2,IF(E10&gt;=1000,1,3))), "Check region")</f>
        <v>45</v>
      </c>
      <c r="H10" s="13">
        <f t="shared" si="1"/>
        <v>111000</v>
      </c>
      <c r="I10" s="13">
        <f t="shared" si="2"/>
        <v>83000</v>
      </c>
      <c r="J10" s="13">
        <f t="shared" si="3"/>
        <v>97000</v>
      </c>
      <c r="K10" s="7" t="s">
        <v>59</v>
      </c>
      <c r="L10" s="13">
        <f t="shared" si="5"/>
        <v>100000</v>
      </c>
      <c r="M10" s="13">
        <f t="shared" si="4"/>
        <v>197000</v>
      </c>
    </row>
    <row r="11" spans="1:13" ht="15" thickBot="1" x14ac:dyDescent="0.4">
      <c r="A11" s="59" t="s">
        <v>88</v>
      </c>
      <c r="B11" s="60" t="s">
        <v>90</v>
      </c>
      <c r="C11" s="60" t="s">
        <v>2</v>
      </c>
      <c r="D11" s="61">
        <v>245117</v>
      </c>
      <c r="E11">
        <f t="shared" si="0"/>
        <v>2451.17</v>
      </c>
      <c r="F11" s="47" t="s">
        <v>2</v>
      </c>
      <c r="G11" cm="1">
        <f t="array" ref="G11">IFERROR(INDEX($D$60:$F$74, MATCH(TRIM(F11),$C$60:$C$74,0), IF(E11&gt;2000,2,IF(E11&gt;=1000,1,3))), "Check region")</f>
        <v>45</v>
      </c>
      <c r="H11" s="13">
        <f t="shared" si="1"/>
        <v>110000</v>
      </c>
      <c r="I11" s="13">
        <f t="shared" si="2"/>
        <v>83000</v>
      </c>
      <c r="J11" s="13">
        <f t="shared" si="3"/>
        <v>96500</v>
      </c>
      <c r="K11" s="7" t="s">
        <v>59</v>
      </c>
      <c r="L11" s="13">
        <f t="shared" si="5"/>
        <v>100000</v>
      </c>
      <c r="M11" s="13">
        <f t="shared" si="4"/>
        <v>196500</v>
      </c>
    </row>
    <row r="12" spans="1:13" ht="15" thickBot="1" x14ac:dyDescent="0.4">
      <c r="A12" s="59" t="s">
        <v>91</v>
      </c>
      <c r="B12" s="60" t="s">
        <v>64</v>
      </c>
      <c r="C12" s="60" t="s">
        <v>2</v>
      </c>
      <c r="D12" s="61">
        <v>187596</v>
      </c>
      <c r="E12">
        <f t="shared" si="0"/>
        <v>1875.96</v>
      </c>
      <c r="F12" s="47" t="s">
        <v>2</v>
      </c>
      <c r="G12" cm="1">
        <f t="array" ref="G12">IFERROR(INDEX($D$60:$F$74, MATCH(TRIM(F12),$C$60:$C$74,0), IF(E12&gt;2000,2,IF(E12&gt;=1000,1,3))), "Check region")</f>
        <v>40</v>
      </c>
      <c r="H12" s="13">
        <f t="shared" si="1"/>
        <v>75000</v>
      </c>
      <c r="I12" s="13">
        <f t="shared" si="2"/>
        <v>56000</v>
      </c>
      <c r="J12" s="13">
        <f t="shared" si="3"/>
        <v>65500</v>
      </c>
      <c r="K12" s="7" t="s">
        <v>59</v>
      </c>
      <c r="L12" s="13">
        <f t="shared" si="5"/>
        <v>100000</v>
      </c>
      <c r="M12" s="13">
        <f t="shared" si="4"/>
        <v>165500</v>
      </c>
    </row>
    <row r="13" spans="1:13" ht="15" thickBot="1" x14ac:dyDescent="0.4">
      <c r="A13" s="59" t="s">
        <v>93</v>
      </c>
      <c r="B13" s="60" t="s">
        <v>95</v>
      </c>
      <c r="C13" s="60" t="s">
        <v>2</v>
      </c>
      <c r="D13" s="61">
        <v>171822</v>
      </c>
      <c r="E13">
        <f t="shared" si="0"/>
        <v>1718.22</v>
      </c>
      <c r="F13" s="47" t="s">
        <v>2</v>
      </c>
      <c r="G13" cm="1">
        <f t="array" ref="G13">IFERROR(INDEX($D$60:$F$74, MATCH(TRIM(F13),$C$60:$C$74,0), IF(E13&gt;2000,2,IF(E13&gt;=1000,1,3))), "Check region")</f>
        <v>40</v>
      </c>
      <c r="H13" s="13">
        <f t="shared" si="1"/>
        <v>69000</v>
      </c>
      <c r="I13" s="13">
        <f t="shared" si="2"/>
        <v>52000</v>
      </c>
      <c r="J13" s="13">
        <f t="shared" si="3"/>
        <v>60500</v>
      </c>
      <c r="K13" s="7" t="s">
        <v>59</v>
      </c>
      <c r="L13" s="13">
        <f t="shared" si="5"/>
        <v>100000</v>
      </c>
      <c r="M13" s="13">
        <f t="shared" si="4"/>
        <v>160500</v>
      </c>
    </row>
    <row r="14" spans="1:13" ht="15" thickBot="1" x14ac:dyDescent="0.4">
      <c r="A14" s="59" t="s">
        <v>96</v>
      </c>
      <c r="B14" s="60" t="s">
        <v>98</v>
      </c>
      <c r="C14" s="60" t="s">
        <v>2</v>
      </c>
      <c r="D14" s="61">
        <v>172866</v>
      </c>
      <c r="E14">
        <f t="shared" si="0"/>
        <v>1728.66</v>
      </c>
      <c r="F14" s="47" t="s">
        <v>2</v>
      </c>
      <c r="G14" cm="1">
        <f t="array" ref="G14">IFERROR(INDEX($D$60:$F$74, MATCH(TRIM(F14),$C$60:$C$74,0), IF(E14&gt;2000,2,IF(E14&gt;=1000,1,3))), "Check region")</f>
        <v>40</v>
      </c>
      <c r="H14" s="13">
        <f t="shared" si="1"/>
        <v>69000</v>
      </c>
      <c r="I14" s="13">
        <f t="shared" si="2"/>
        <v>52000</v>
      </c>
      <c r="J14" s="13">
        <f t="shared" si="3"/>
        <v>60500</v>
      </c>
      <c r="K14" s="7" t="s">
        <v>59</v>
      </c>
      <c r="L14" s="13">
        <f t="shared" si="5"/>
        <v>100000</v>
      </c>
      <c r="M14" s="13">
        <f t="shared" si="4"/>
        <v>160500</v>
      </c>
    </row>
    <row r="15" spans="1:13" ht="15" thickBot="1" x14ac:dyDescent="0.4">
      <c r="A15" s="59" t="s">
        <v>99</v>
      </c>
      <c r="B15" s="60" t="s">
        <v>101</v>
      </c>
      <c r="C15" s="60" t="s">
        <v>2</v>
      </c>
      <c r="D15" s="61">
        <v>140011</v>
      </c>
      <c r="E15">
        <f t="shared" si="0"/>
        <v>1400.11</v>
      </c>
      <c r="F15" s="47" t="s">
        <v>2</v>
      </c>
      <c r="G15" cm="1">
        <f t="array" ref="G15">IFERROR(INDEX($D$60:$F$74, MATCH(TRIM(F15),$C$60:$C$74,0), IF(E15&gt;2000,2,IF(E15&gt;=1000,1,3))), "Check region")</f>
        <v>40</v>
      </c>
      <c r="H15" s="13">
        <f t="shared" si="1"/>
        <v>56000</v>
      </c>
      <c r="I15" s="13">
        <f t="shared" si="2"/>
        <v>42000</v>
      </c>
      <c r="J15" s="13">
        <f t="shared" si="3"/>
        <v>49000</v>
      </c>
      <c r="K15" s="7" t="s">
        <v>59</v>
      </c>
      <c r="L15" s="13">
        <f t="shared" si="5"/>
        <v>100000</v>
      </c>
      <c r="M15" s="13">
        <f t="shared" si="4"/>
        <v>149000</v>
      </c>
    </row>
    <row r="16" spans="1:13" ht="15" thickBot="1" x14ac:dyDescent="0.4">
      <c r="A16" s="59" t="s">
        <v>102</v>
      </c>
      <c r="B16" s="60" t="s">
        <v>90</v>
      </c>
      <c r="C16" s="60" t="s">
        <v>2</v>
      </c>
      <c r="D16" s="61">
        <v>127665</v>
      </c>
      <c r="E16">
        <f t="shared" si="0"/>
        <v>1276.6500000000001</v>
      </c>
      <c r="F16" s="47" t="s">
        <v>2</v>
      </c>
      <c r="G16" cm="1">
        <f t="array" ref="G16">IFERROR(INDEX($D$60:$F$74, MATCH(TRIM(F16),$C$60:$C$74,0), IF(E16&gt;2000,2,IF(E16&gt;=1000,1,3))), "Check region")</f>
        <v>40</v>
      </c>
      <c r="H16" s="13">
        <f t="shared" si="1"/>
        <v>51000</v>
      </c>
      <c r="I16" s="13">
        <f t="shared" si="2"/>
        <v>38000</v>
      </c>
      <c r="J16" s="13">
        <f t="shared" si="3"/>
        <v>44500</v>
      </c>
      <c r="K16" s="7" t="s">
        <v>59</v>
      </c>
      <c r="L16" s="13">
        <f t="shared" si="5"/>
        <v>100000</v>
      </c>
      <c r="M16" s="13">
        <f t="shared" si="4"/>
        <v>144500</v>
      </c>
    </row>
    <row r="17" spans="1:13" ht="15" thickBot="1" x14ac:dyDescent="0.4">
      <c r="A17" s="59" t="s">
        <v>104</v>
      </c>
      <c r="B17" s="60" t="s">
        <v>106</v>
      </c>
      <c r="C17" s="60" t="s">
        <v>57</v>
      </c>
      <c r="D17" s="61">
        <v>1235513</v>
      </c>
      <c r="E17">
        <f t="shared" si="0"/>
        <v>12355.13</v>
      </c>
      <c r="F17" s="47" t="s">
        <v>19</v>
      </c>
      <c r="G17" cm="1">
        <f t="array" ref="G17">IFERROR(INDEX($D$60:$F$74, MATCH(TRIM(F17),$C$60:$C$74,0), IF(E17&gt;2000,2,IF(E17&gt;=1000,1,3))), "Check region")</f>
        <v>70</v>
      </c>
      <c r="H17" s="13">
        <f t="shared" si="1"/>
        <v>865000</v>
      </c>
      <c r="I17" s="13">
        <f t="shared" si="2"/>
        <v>649000</v>
      </c>
      <c r="J17" s="13">
        <f t="shared" si="3"/>
        <v>757000</v>
      </c>
      <c r="K17" s="7" t="s">
        <v>59</v>
      </c>
      <c r="L17" s="13">
        <f t="shared" si="5"/>
        <v>100000</v>
      </c>
      <c r="M17" s="13">
        <f t="shared" si="4"/>
        <v>857000</v>
      </c>
    </row>
    <row r="18" spans="1:13" ht="15" thickBot="1" x14ac:dyDescent="0.4">
      <c r="A18" s="59" t="s">
        <v>107</v>
      </c>
      <c r="B18" s="60" t="s">
        <v>109</v>
      </c>
      <c r="C18" s="60" t="s">
        <v>57</v>
      </c>
      <c r="D18" s="61">
        <v>1243982</v>
      </c>
      <c r="E18">
        <f t="shared" si="0"/>
        <v>12439.82</v>
      </c>
      <c r="F18" s="47" t="s">
        <v>23</v>
      </c>
      <c r="G18" cm="1">
        <f t="array" ref="G18">IFERROR(INDEX($D$60:$F$74, MATCH(TRIM(F18),$C$60:$C$74,0), IF(E18&gt;2000,2,IF(E18&gt;=1000,1,3))), "Check region")</f>
        <v>110</v>
      </c>
      <c r="H18" s="13">
        <f t="shared" si="1"/>
        <v>1368000</v>
      </c>
      <c r="I18" s="13">
        <f t="shared" si="2"/>
        <v>1026000</v>
      </c>
      <c r="J18" s="13">
        <f t="shared" si="3"/>
        <v>1197000</v>
      </c>
      <c r="K18" s="7" t="s">
        <v>59</v>
      </c>
      <c r="L18" s="13">
        <f t="shared" si="5"/>
        <v>100000</v>
      </c>
      <c r="M18" s="13">
        <f t="shared" si="4"/>
        <v>1297000</v>
      </c>
    </row>
    <row r="19" spans="1:13" ht="15" thickBot="1" x14ac:dyDescent="0.4">
      <c r="A19" s="59" t="s">
        <v>110</v>
      </c>
      <c r="B19" s="60" t="s">
        <v>112</v>
      </c>
      <c r="C19" s="60" t="s">
        <v>57</v>
      </c>
      <c r="D19" s="61">
        <v>1094676</v>
      </c>
      <c r="E19">
        <f t="shared" si="0"/>
        <v>10946.76</v>
      </c>
      <c r="F19" s="62" t="s">
        <v>23</v>
      </c>
      <c r="G19" cm="1">
        <f t="array" ref="G19">IFERROR(INDEX($D$60:$F$74, MATCH(TRIM(F19),$C$60:$C$74,0), IF(E19&gt;2000,2,IF(E19&gt;=1000,1,3))), "Check region")</f>
        <v>110</v>
      </c>
      <c r="H19" s="13">
        <f t="shared" si="1"/>
        <v>1204000</v>
      </c>
      <c r="I19" s="13">
        <f t="shared" si="2"/>
        <v>903000</v>
      </c>
      <c r="J19" s="13">
        <f t="shared" si="3"/>
        <v>1053500</v>
      </c>
      <c r="K19" s="7" t="s">
        <v>59</v>
      </c>
      <c r="L19" s="13">
        <f t="shared" si="5"/>
        <v>100000</v>
      </c>
      <c r="M19" s="13">
        <f t="shared" si="4"/>
        <v>1153500</v>
      </c>
    </row>
    <row r="20" spans="1:13" ht="15" thickBot="1" x14ac:dyDescent="0.4">
      <c r="A20" s="59" t="s">
        <v>113</v>
      </c>
      <c r="B20" s="60" t="s">
        <v>112</v>
      </c>
      <c r="C20" s="60" t="s">
        <v>57</v>
      </c>
      <c r="D20" s="61">
        <v>471231</v>
      </c>
      <c r="E20">
        <f t="shared" si="0"/>
        <v>4712.3100000000004</v>
      </c>
      <c r="F20" s="62" t="s">
        <v>23</v>
      </c>
      <c r="G20" cm="1">
        <f t="array" ref="G20">IFERROR(INDEX($D$60:$F$74, MATCH(TRIM(F20),$C$60:$C$74,0), IF(E20&gt;2000,2,IF(E20&gt;=1000,1,3))), "Check region")</f>
        <v>110</v>
      </c>
      <c r="H20" s="13">
        <f t="shared" si="1"/>
        <v>518000</v>
      </c>
      <c r="I20" s="13">
        <f t="shared" si="2"/>
        <v>389000</v>
      </c>
      <c r="J20" s="13">
        <f t="shared" si="3"/>
        <v>453500</v>
      </c>
      <c r="K20" s="7" t="s">
        <v>59</v>
      </c>
      <c r="L20" s="13">
        <f t="shared" si="5"/>
        <v>100000</v>
      </c>
      <c r="M20" s="13">
        <f t="shared" si="4"/>
        <v>553500</v>
      </c>
    </row>
    <row r="21" spans="1:13" ht="15" thickBot="1" x14ac:dyDescent="0.4">
      <c r="A21" s="59" t="s">
        <v>115</v>
      </c>
      <c r="B21" s="60" t="s">
        <v>117</v>
      </c>
      <c r="C21" s="60" t="s">
        <v>57</v>
      </c>
      <c r="D21" s="61">
        <v>361609</v>
      </c>
      <c r="E21">
        <f t="shared" si="0"/>
        <v>3616.09</v>
      </c>
      <c r="F21" s="62" t="s">
        <v>23</v>
      </c>
      <c r="G21" cm="1">
        <f t="array" ref="G21">IFERROR(INDEX($D$60:$F$74, MATCH(TRIM(F21),$C$60:$C$74,0), IF(E21&gt;2000,2,IF(E21&gt;=1000,1,3))), "Check region")</f>
        <v>110</v>
      </c>
      <c r="H21" s="13">
        <f t="shared" si="1"/>
        <v>398000</v>
      </c>
      <c r="I21" s="13">
        <f t="shared" si="2"/>
        <v>299000</v>
      </c>
      <c r="J21" s="13">
        <f t="shared" si="3"/>
        <v>348500</v>
      </c>
      <c r="K21" s="7" t="s">
        <v>59</v>
      </c>
      <c r="L21" s="13">
        <f t="shared" si="5"/>
        <v>100000</v>
      </c>
      <c r="M21" s="13">
        <f t="shared" si="4"/>
        <v>448500</v>
      </c>
    </row>
    <row r="22" spans="1:13" ht="15" thickBot="1" x14ac:dyDescent="0.4">
      <c r="A22" s="59" t="s">
        <v>118</v>
      </c>
      <c r="B22" s="60" t="s">
        <v>120</v>
      </c>
      <c r="C22" s="60" t="s">
        <v>57</v>
      </c>
      <c r="D22" s="61">
        <v>355580</v>
      </c>
      <c r="E22">
        <f t="shared" si="0"/>
        <v>3555.8</v>
      </c>
      <c r="F22" s="62" t="s">
        <v>23</v>
      </c>
      <c r="G22" cm="1">
        <f t="array" ref="G22">IFERROR(INDEX($D$60:$F$74, MATCH(TRIM(F22),$C$60:$C$74,0), IF(E22&gt;2000,2,IF(E22&gt;=1000,1,3))), "Check region")</f>
        <v>110</v>
      </c>
      <c r="H22" s="13">
        <f t="shared" si="1"/>
        <v>391000</v>
      </c>
      <c r="I22" s="13">
        <f t="shared" si="2"/>
        <v>293000</v>
      </c>
      <c r="J22" s="13">
        <f t="shared" si="3"/>
        <v>342000</v>
      </c>
      <c r="K22" s="7" t="s">
        <v>59</v>
      </c>
      <c r="L22" s="13">
        <f t="shared" si="5"/>
        <v>100000</v>
      </c>
      <c r="M22" s="13">
        <f t="shared" si="4"/>
        <v>442000</v>
      </c>
    </row>
    <row r="23" spans="1:13" ht="15" thickBot="1" x14ac:dyDescent="0.4">
      <c r="A23" s="59" t="s">
        <v>121</v>
      </c>
      <c r="B23" s="60" t="s">
        <v>123</v>
      </c>
      <c r="C23" s="60" t="s">
        <v>57</v>
      </c>
      <c r="D23" s="61">
        <v>322268</v>
      </c>
      <c r="E23">
        <f t="shared" si="0"/>
        <v>3222.68</v>
      </c>
      <c r="F23" s="47" t="s">
        <v>19</v>
      </c>
      <c r="G23" cm="1">
        <f t="array" ref="G23">IFERROR(INDEX($D$60:$F$74, MATCH(TRIM(F23),$C$60:$C$74,0), IF(E23&gt;2000,2,IF(E23&gt;=1000,1,3))), "Check region")</f>
        <v>70</v>
      </c>
      <c r="H23" s="13">
        <f t="shared" si="1"/>
        <v>226000</v>
      </c>
      <c r="I23" s="13">
        <f t="shared" si="2"/>
        <v>170000</v>
      </c>
      <c r="J23" s="13">
        <f t="shared" si="3"/>
        <v>198000</v>
      </c>
      <c r="K23" s="7" t="s">
        <v>59</v>
      </c>
      <c r="L23" s="13">
        <f t="shared" si="5"/>
        <v>100000</v>
      </c>
      <c r="M23" s="13">
        <f t="shared" si="4"/>
        <v>298000</v>
      </c>
    </row>
    <row r="24" spans="1:13" ht="29" thickBot="1" x14ac:dyDescent="0.4">
      <c r="A24" s="59" t="s">
        <v>124</v>
      </c>
      <c r="B24" s="60" t="s">
        <v>126</v>
      </c>
      <c r="C24" s="60" t="s">
        <v>57</v>
      </c>
      <c r="D24" s="61">
        <v>291758</v>
      </c>
      <c r="E24">
        <f t="shared" si="0"/>
        <v>2917.58</v>
      </c>
      <c r="F24" s="62" t="s">
        <v>23</v>
      </c>
      <c r="G24" cm="1">
        <f t="array" ref="G24">IFERROR(INDEX($D$60:$F$74, MATCH(TRIM(F24),$C$60:$C$74,0), IF(E24&gt;2000,2,IF(E24&gt;=1000,1,3))), "Check region")</f>
        <v>110</v>
      </c>
      <c r="H24" s="13">
        <f t="shared" si="1"/>
        <v>321000</v>
      </c>
      <c r="I24" s="13">
        <f t="shared" si="2"/>
        <v>241000</v>
      </c>
      <c r="J24" s="13">
        <f t="shared" si="3"/>
        <v>281000</v>
      </c>
      <c r="K24" s="7" t="s">
        <v>59</v>
      </c>
      <c r="L24" s="13">
        <f t="shared" si="5"/>
        <v>100000</v>
      </c>
      <c r="M24" s="13">
        <f t="shared" si="4"/>
        <v>381000</v>
      </c>
    </row>
    <row r="25" spans="1:13" ht="15" thickBot="1" x14ac:dyDescent="0.4">
      <c r="A25" s="59" t="s">
        <v>127</v>
      </c>
      <c r="B25" s="60" t="s">
        <v>129</v>
      </c>
      <c r="C25" s="60" t="s">
        <v>57</v>
      </c>
      <c r="D25" s="61">
        <v>217344</v>
      </c>
      <c r="E25">
        <f t="shared" si="0"/>
        <v>2173.44</v>
      </c>
      <c r="F25" s="62" t="s">
        <v>23</v>
      </c>
      <c r="G25" cm="1">
        <f t="array" ref="G25">IFERROR(INDEX($D$60:$F$74, MATCH(TRIM(F25),$C$60:$C$74,0), IF(E25&gt;2000,2,IF(E25&gt;=1000,1,3))), "Check region")</f>
        <v>110</v>
      </c>
      <c r="H25" s="13">
        <f t="shared" si="1"/>
        <v>239000</v>
      </c>
      <c r="I25" s="13">
        <f t="shared" si="2"/>
        <v>179000</v>
      </c>
      <c r="J25" s="13">
        <f t="shared" si="3"/>
        <v>209000</v>
      </c>
      <c r="K25" s="7" t="s">
        <v>59</v>
      </c>
      <c r="L25" s="13">
        <f t="shared" si="5"/>
        <v>100000</v>
      </c>
      <c r="M25" s="13">
        <f t="shared" si="4"/>
        <v>309000</v>
      </c>
    </row>
    <row r="26" spans="1:13" ht="15" thickBot="1" x14ac:dyDescent="0.4">
      <c r="A26" s="59" t="s">
        <v>130</v>
      </c>
      <c r="B26" s="60" t="s">
        <v>132</v>
      </c>
      <c r="C26" s="60" t="s">
        <v>57</v>
      </c>
      <c r="D26" s="61">
        <v>219628</v>
      </c>
      <c r="E26">
        <f t="shared" si="0"/>
        <v>2196.2800000000002</v>
      </c>
      <c r="F26" s="62" t="s">
        <v>23</v>
      </c>
      <c r="G26" cm="1">
        <f t="array" ref="G26">IFERROR(INDEX($D$60:$F$74, MATCH(TRIM(F26),$C$60:$C$74,0), IF(E26&gt;2000,2,IF(E26&gt;=1000,1,3))), "Check region")</f>
        <v>110</v>
      </c>
      <c r="H26" s="13">
        <f t="shared" si="1"/>
        <v>242000</v>
      </c>
      <c r="I26" s="13">
        <f t="shared" si="2"/>
        <v>182000</v>
      </c>
      <c r="J26" s="13">
        <f t="shared" si="3"/>
        <v>212000</v>
      </c>
      <c r="K26" s="7" t="s">
        <v>59</v>
      </c>
      <c r="L26" s="13">
        <f t="shared" si="5"/>
        <v>100000</v>
      </c>
      <c r="M26" s="13">
        <f t="shared" si="4"/>
        <v>312000</v>
      </c>
    </row>
    <row r="27" spans="1:13" ht="15" thickBot="1" x14ac:dyDescent="0.4">
      <c r="A27" s="59" t="s">
        <v>133</v>
      </c>
      <c r="B27" s="60" t="s">
        <v>135</v>
      </c>
      <c r="C27" s="60" t="s">
        <v>57</v>
      </c>
      <c r="D27" s="61">
        <v>192157</v>
      </c>
      <c r="E27">
        <f t="shared" si="0"/>
        <v>1921.57</v>
      </c>
      <c r="F27" s="62" t="s">
        <v>23</v>
      </c>
      <c r="G27" cm="1">
        <f t="array" ref="G27">IFERROR(INDEX($D$60:$F$74, MATCH(TRIM(F27),$C$60:$C$74,0), IF(E27&gt;2000,2,IF(E27&gt;=1000,1,3))), "Check region")</f>
        <v>100</v>
      </c>
      <c r="H27" s="13">
        <f t="shared" si="1"/>
        <v>192000</v>
      </c>
      <c r="I27" s="13">
        <f t="shared" si="2"/>
        <v>144000</v>
      </c>
      <c r="J27" s="13">
        <f t="shared" si="3"/>
        <v>168000</v>
      </c>
      <c r="K27" s="7" t="s">
        <v>59</v>
      </c>
      <c r="L27" s="13">
        <f t="shared" si="5"/>
        <v>100000</v>
      </c>
      <c r="M27" s="13">
        <f t="shared" si="4"/>
        <v>268000</v>
      </c>
    </row>
    <row r="28" spans="1:13" ht="15" thickBot="1" x14ac:dyDescent="0.4">
      <c r="A28" s="59" t="s">
        <v>136</v>
      </c>
      <c r="B28" s="60" t="s">
        <v>135</v>
      </c>
      <c r="C28" s="60" t="s">
        <v>57</v>
      </c>
      <c r="D28" s="61">
        <v>176405</v>
      </c>
      <c r="E28">
        <f t="shared" si="0"/>
        <v>1764.05</v>
      </c>
      <c r="F28" s="62" t="s">
        <v>23</v>
      </c>
      <c r="G28" cm="1">
        <f t="array" ref="G28">IFERROR(INDEX($D$60:$F$74, MATCH(TRIM(F28),$C$60:$C$74,0), IF(E28&gt;2000,2,IF(E28&gt;=1000,1,3))), "Check region")</f>
        <v>100</v>
      </c>
      <c r="H28" s="13">
        <f t="shared" si="1"/>
        <v>176000</v>
      </c>
      <c r="I28" s="13">
        <f t="shared" si="2"/>
        <v>132000</v>
      </c>
      <c r="J28" s="13">
        <f t="shared" si="3"/>
        <v>154000</v>
      </c>
      <c r="K28" s="7" t="s">
        <v>59</v>
      </c>
      <c r="L28" s="13">
        <f t="shared" si="5"/>
        <v>100000</v>
      </c>
      <c r="M28" s="13">
        <f t="shared" si="4"/>
        <v>254000</v>
      </c>
    </row>
    <row r="29" spans="1:13" ht="15" thickBot="1" x14ac:dyDescent="0.4">
      <c r="A29" s="59" t="s">
        <v>138</v>
      </c>
      <c r="B29" s="60" t="s">
        <v>109</v>
      </c>
      <c r="C29" s="60" t="s">
        <v>57</v>
      </c>
      <c r="D29" s="61">
        <v>154269</v>
      </c>
      <c r="E29">
        <f t="shared" si="0"/>
        <v>1542.69</v>
      </c>
      <c r="F29" s="62" t="s">
        <v>23</v>
      </c>
      <c r="G29" cm="1">
        <f t="array" ref="G29">IFERROR(INDEX($D$60:$F$74, MATCH(TRIM(F29),$C$60:$C$74,0), IF(E29&gt;2000,2,IF(E29&gt;=1000,1,3))), "Check region")</f>
        <v>100</v>
      </c>
      <c r="H29" s="13">
        <f t="shared" si="1"/>
        <v>154000</v>
      </c>
      <c r="I29" s="13">
        <f t="shared" si="2"/>
        <v>116000</v>
      </c>
      <c r="J29" s="13">
        <f t="shared" si="3"/>
        <v>135000</v>
      </c>
      <c r="K29" s="7" t="s">
        <v>59</v>
      </c>
      <c r="L29" s="13">
        <f t="shared" si="5"/>
        <v>100000</v>
      </c>
      <c r="M29" s="13">
        <f t="shared" si="4"/>
        <v>235000</v>
      </c>
    </row>
    <row r="30" spans="1:13" ht="15" thickBot="1" x14ac:dyDescent="0.4">
      <c r="A30" s="59" t="s">
        <v>140</v>
      </c>
      <c r="B30" s="60" t="s">
        <v>61</v>
      </c>
      <c r="C30" s="60" t="s">
        <v>57</v>
      </c>
      <c r="D30" s="61">
        <v>149346</v>
      </c>
      <c r="E30">
        <f t="shared" si="0"/>
        <v>1493.46</v>
      </c>
      <c r="F30" s="62" t="s">
        <v>23</v>
      </c>
      <c r="G30" cm="1">
        <f t="array" ref="G30">IFERROR(INDEX($D$60:$F$74, MATCH(TRIM(F30),$C$60:$C$74,0), IF(E30&gt;2000,2,IF(E30&gt;=1000,1,3))), "Check region")</f>
        <v>100</v>
      </c>
      <c r="H30" s="13">
        <f t="shared" si="1"/>
        <v>149000</v>
      </c>
      <c r="I30" s="13">
        <f t="shared" si="2"/>
        <v>112000</v>
      </c>
      <c r="J30" s="13">
        <f t="shared" si="3"/>
        <v>130500</v>
      </c>
      <c r="K30" s="7" t="s">
        <v>59</v>
      </c>
      <c r="L30" s="13">
        <f t="shared" si="5"/>
        <v>100000</v>
      </c>
      <c r="M30" s="13">
        <f t="shared" si="4"/>
        <v>230500</v>
      </c>
    </row>
    <row r="31" spans="1:13" ht="15" thickBot="1" x14ac:dyDescent="0.4">
      <c r="A31" s="59" t="s">
        <v>142</v>
      </c>
      <c r="B31" s="60" t="s">
        <v>144</v>
      </c>
      <c r="C31" s="60" t="s">
        <v>57</v>
      </c>
      <c r="D31" s="61">
        <v>127620</v>
      </c>
      <c r="E31">
        <f t="shared" si="0"/>
        <v>1276.2</v>
      </c>
      <c r="F31" s="62" t="s">
        <v>23</v>
      </c>
      <c r="G31" cm="1">
        <f t="array" ref="G31">IFERROR(INDEX($D$60:$F$74, MATCH(TRIM(F31),$C$60:$C$74,0), IF(E31&gt;2000,2,IF(E31&gt;=1000,1,3))), "Check region")</f>
        <v>100</v>
      </c>
      <c r="H31" s="13">
        <f t="shared" si="1"/>
        <v>128000</v>
      </c>
      <c r="I31" s="13">
        <f t="shared" si="2"/>
        <v>96000</v>
      </c>
      <c r="J31" s="13">
        <f t="shared" si="3"/>
        <v>112000</v>
      </c>
      <c r="K31" s="7" t="s">
        <v>59</v>
      </c>
      <c r="L31" s="13">
        <f t="shared" si="5"/>
        <v>100000</v>
      </c>
      <c r="M31" s="13">
        <f t="shared" si="4"/>
        <v>212000</v>
      </c>
    </row>
    <row r="32" spans="1:13" ht="15" thickBot="1" x14ac:dyDescent="0.4">
      <c r="A32" s="59" t="s">
        <v>145</v>
      </c>
      <c r="B32" s="60" t="s">
        <v>147</v>
      </c>
      <c r="C32" s="60" t="s">
        <v>57</v>
      </c>
      <c r="D32" s="61">
        <v>114910</v>
      </c>
      <c r="E32">
        <f t="shared" si="0"/>
        <v>1149.0999999999999</v>
      </c>
      <c r="F32" s="62" t="s">
        <v>23</v>
      </c>
      <c r="G32" cm="1">
        <f t="array" ref="G32">IFERROR(INDEX($D$60:$F$74, MATCH(TRIM(F32),$C$60:$C$74,0), IF(E32&gt;2000,2,IF(E32&gt;=1000,1,3))), "Check region")</f>
        <v>100</v>
      </c>
      <c r="H32" s="13">
        <f t="shared" si="1"/>
        <v>115000</v>
      </c>
      <c r="I32" s="13">
        <f t="shared" si="2"/>
        <v>86000</v>
      </c>
      <c r="J32" s="13">
        <f t="shared" si="3"/>
        <v>100500</v>
      </c>
      <c r="K32" s="7" t="s">
        <v>59</v>
      </c>
      <c r="L32" s="13">
        <f t="shared" si="5"/>
        <v>100000</v>
      </c>
      <c r="M32" s="13">
        <f t="shared" si="4"/>
        <v>200500</v>
      </c>
    </row>
    <row r="33" spans="1:18" ht="15" thickBot="1" x14ac:dyDescent="0.4">
      <c r="A33" s="53"/>
      <c r="B33" s="52"/>
      <c r="C33" s="54"/>
      <c r="D33" s="55"/>
    </row>
    <row r="34" spans="1:18" ht="18.5" x14ac:dyDescent="0.45">
      <c r="A34" s="8" t="s">
        <v>3</v>
      </c>
      <c r="B34" s="8"/>
      <c r="C34" s="46"/>
      <c r="D34" s="9">
        <f>SUM(D2:D33)</f>
        <v>13711249</v>
      </c>
      <c r="E34" s="8">
        <f>SUM(E2:E33)</f>
        <v>137112.49</v>
      </c>
      <c r="F34" s="46"/>
      <c r="G34" s="8"/>
      <c r="H34" s="14">
        <f>SUM(H2:H33)</f>
        <v>9787000</v>
      </c>
      <c r="I34" s="14">
        <f>SUM(I2:I33)</f>
        <v>7343000</v>
      </c>
      <c r="J34" s="14">
        <f>SUM(J2:J33)</f>
        <v>8565000</v>
      </c>
      <c r="K34" s="10"/>
      <c r="L34" s="14">
        <f>SUM(L2:L33)</f>
        <v>3100000</v>
      </c>
      <c r="M34" s="14">
        <f>SUM(M2:M33)</f>
        <v>11665000</v>
      </c>
      <c r="N34" s="8"/>
      <c r="O34" s="8"/>
      <c r="P34" s="8"/>
      <c r="Q34" s="8"/>
      <c r="R34" s="11"/>
    </row>
    <row r="59" spans="3:8" ht="21" x14ac:dyDescent="0.5">
      <c r="C59" s="45" t="s">
        <v>10</v>
      </c>
      <c r="D59" s="5" t="s">
        <v>27</v>
      </c>
      <c r="E59" s="5" t="s">
        <v>28</v>
      </c>
      <c r="F59" s="45" t="s">
        <v>56</v>
      </c>
      <c r="G59" s="5" t="s">
        <v>47</v>
      </c>
      <c r="H59" s="5" t="s">
        <v>49</v>
      </c>
    </row>
    <row r="60" spans="3:8" x14ac:dyDescent="0.35">
      <c r="C60" s="47" t="s">
        <v>18</v>
      </c>
      <c r="D60">
        <v>0</v>
      </c>
      <c r="E60">
        <v>0</v>
      </c>
      <c r="F60" s="47">
        <v>0</v>
      </c>
      <c r="G60" s="36">
        <v>0.05</v>
      </c>
      <c r="H60" s="38">
        <f>$M$34/G60</f>
        <v>233300000</v>
      </c>
    </row>
    <row r="61" spans="3:8" x14ac:dyDescent="0.35">
      <c r="C61" s="47" t="s">
        <v>19</v>
      </c>
      <c r="D61">
        <v>60</v>
      </c>
      <c r="E61">
        <v>70</v>
      </c>
      <c r="F61" s="47">
        <v>50</v>
      </c>
      <c r="G61" s="37">
        <v>5.5E-2</v>
      </c>
      <c r="H61" s="38">
        <f>$M$34/G61</f>
        <v>212090909.09090909</v>
      </c>
    </row>
    <row r="62" spans="3:8" x14ac:dyDescent="0.35">
      <c r="C62" s="47" t="s">
        <v>20</v>
      </c>
      <c r="D62">
        <v>60</v>
      </c>
      <c r="E62">
        <v>60</v>
      </c>
      <c r="F62" s="47">
        <v>60</v>
      </c>
      <c r="G62" s="36">
        <v>0.06</v>
      </c>
      <c r="H62" s="38">
        <f>$M$34/G62</f>
        <v>194416666.66666669</v>
      </c>
    </row>
    <row r="63" spans="3:8" x14ac:dyDescent="0.35">
      <c r="C63" s="47" t="s">
        <v>1</v>
      </c>
      <c r="D63">
        <v>50</v>
      </c>
      <c r="E63">
        <v>60</v>
      </c>
      <c r="F63" s="47">
        <v>40</v>
      </c>
      <c r="G63" s="37">
        <v>6.5000000000000002E-2</v>
      </c>
      <c r="H63" s="38">
        <f>$M$34/G63</f>
        <v>179461538.46153846</v>
      </c>
    </row>
    <row r="64" spans="3:8" x14ac:dyDescent="0.35">
      <c r="C64" s="47" t="s">
        <v>58</v>
      </c>
      <c r="D64">
        <v>80</v>
      </c>
      <c r="E64">
        <v>80</v>
      </c>
      <c r="F64" s="47">
        <v>80</v>
      </c>
      <c r="G64" s="36">
        <v>7.0000000000000007E-2</v>
      </c>
      <c r="H64" s="38">
        <f>$M$34/G64</f>
        <v>166642857.14285713</v>
      </c>
    </row>
    <row r="65" spans="3:8" x14ac:dyDescent="0.35">
      <c r="C65" s="47" t="s">
        <v>21</v>
      </c>
      <c r="D65">
        <v>80</v>
      </c>
      <c r="E65">
        <v>80</v>
      </c>
      <c r="F65" s="47">
        <v>90</v>
      </c>
    </row>
    <row r="66" spans="3:8" x14ac:dyDescent="0.35">
      <c r="C66" s="47" t="s">
        <v>22</v>
      </c>
      <c r="D66">
        <v>60</v>
      </c>
      <c r="E66">
        <v>60</v>
      </c>
      <c r="F66" s="47">
        <v>50</v>
      </c>
      <c r="H66"/>
    </row>
    <row r="67" spans="3:8" x14ac:dyDescent="0.35">
      <c r="C67" s="47" t="s">
        <v>23</v>
      </c>
      <c r="D67">
        <v>100</v>
      </c>
      <c r="E67">
        <v>110</v>
      </c>
      <c r="F67" s="47">
        <v>80</v>
      </c>
      <c r="H67"/>
    </row>
    <row r="68" spans="3:8" x14ac:dyDescent="0.35">
      <c r="C68" s="47" t="s">
        <v>24</v>
      </c>
      <c r="D68">
        <v>80</v>
      </c>
      <c r="E68">
        <v>80</v>
      </c>
      <c r="F68" s="47">
        <v>90</v>
      </c>
      <c r="H68"/>
    </row>
    <row r="69" spans="3:8" x14ac:dyDescent="0.35">
      <c r="C69" s="47" t="s">
        <v>25</v>
      </c>
      <c r="D69">
        <v>20</v>
      </c>
      <c r="E69">
        <v>20</v>
      </c>
      <c r="F69" s="47">
        <v>15</v>
      </c>
      <c r="H69"/>
    </row>
    <row r="70" spans="3:8" x14ac:dyDescent="0.35">
      <c r="C70" s="47" t="s">
        <v>26</v>
      </c>
      <c r="D70">
        <v>100</v>
      </c>
      <c r="E70">
        <v>110</v>
      </c>
      <c r="F70" s="47">
        <v>80</v>
      </c>
      <c r="H70"/>
    </row>
    <row r="71" spans="3:8" x14ac:dyDescent="0.35">
      <c r="C71" s="47" t="s">
        <v>2</v>
      </c>
      <c r="D71">
        <v>40</v>
      </c>
      <c r="E71">
        <v>45</v>
      </c>
      <c r="F71" s="47">
        <v>40</v>
      </c>
      <c r="H71"/>
    </row>
    <row r="72" spans="3:8" x14ac:dyDescent="0.35">
      <c r="C72" s="47" t="s">
        <v>53</v>
      </c>
      <c r="D72">
        <v>0</v>
      </c>
      <c r="E72">
        <v>0</v>
      </c>
      <c r="F72" s="47">
        <v>0</v>
      </c>
      <c r="H72"/>
    </row>
    <row r="73" spans="3:8" x14ac:dyDescent="0.35">
      <c r="C73" s="47" t="s">
        <v>54</v>
      </c>
      <c r="D73">
        <v>0</v>
      </c>
      <c r="E73">
        <v>0</v>
      </c>
      <c r="F73" s="47">
        <v>0</v>
      </c>
      <c r="H73"/>
    </row>
    <row r="74" spans="3:8" x14ac:dyDescent="0.35">
      <c r="C74" s="47" t="s">
        <v>55</v>
      </c>
      <c r="D74" s="4">
        <v>60</v>
      </c>
      <c r="E74">
        <v>70</v>
      </c>
      <c r="F74" s="47">
        <v>50</v>
      </c>
      <c r="H74"/>
    </row>
    <row r="75" spans="3:8" x14ac:dyDescent="0.35">
      <c r="C75" s="48" t="s">
        <v>51</v>
      </c>
      <c r="D75" s="43">
        <v>100000</v>
      </c>
      <c r="H75"/>
    </row>
  </sheetData>
  <dataValidations count="1">
    <dataValidation type="list" allowBlank="1" showInputMessage="1" showErrorMessage="1" sqref="K1:K1048576" xr:uid="{00000000-0002-0000-0200-000000000000}">
      <formula1>"Yes, No"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52"/>
  <sheetViews>
    <sheetView tabSelected="1" workbookViewId="0">
      <selection activeCell="B2" sqref="B2:G2"/>
    </sheetView>
  </sheetViews>
  <sheetFormatPr defaultRowHeight="14.5" x14ac:dyDescent="0.35"/>
  <cols>
    <col min="1" max="1" width="3" customWidth="1"/>
    <col min="2" max="2" width="40.90625" customWidth="1"/>
    <col min="3" max="3" width="10" customWidth="1"/>
    <col min="4" max="4" width="15" customWidth="1"/>
    <col min="5" max="6" width="17" customWidth="1"/>
    <col min="7" max="7" width="18" customWidth="1"/>
    <col min="8" max="8" width="3" customWidth="1"/>
    <col min="9" max="9" width="24.36328125" bestFit="1" customWidth="1"/>
    <col min="10" max="10" width="24.90625" bestFit="1" customWidth="1"/>
  </cols>
  <sheetData>
    <row r="1" spans="1:14" x14ac:dyDescent="0.35">
      <c r="A1" s="15"/>
      <c r="B1" s="15"/>
      <c r="C1" s="15"/>
      <c r="D1" s="15"/>
      <c r="E1" s="15"/>
      <c r="F1" s="15"/>
      <c r="G1" s="15"/>
      <c r="H1" s="15"/>
      <c r="I1" s="15"/>
      <c r="J1" s="15"/>
    </row>
    <row r="2" spans="1:14" ht="20" customHeight="1" x14ac:dyDescent="0.35">
      <c r="A2" s="15"/>
      <c r="B2" s="63" t="s">
        <v>150</v>
      </c>
      <c r="C2" s="63"/>
      <c r="D2" s="63"/>
      <c r="E2" s="63"/>
      <c r="F2" s="63"/>
      <c r="G2" s="63"/>
      <c r="H2" s="15"/>
      <c r="I2" s="65" t="s">
        <v>29</v>
      </c>
      <c r="J2" s="66"/>
    </row>
    <row r="3" spans="1:14" ht="16.649999999999999" customHeight="1" x14ac:dyDescent="0.35">
      <c r="A3" s="15"/>
      <c r="B3" s="64" t="s">
        <v>30</v>
      </c>
      <c r="C3" s="64"/>
      <c r="D3" s="64"/>
      <c r="E3" s="64"/>
      <c r="F3" s="64"/>
      <c r="G3" s="64"/>
      <c r="H3" s="15"/>
      <c r="I3" s="67"/>
      <c r="J3" s="68"/>
    </row>
    <row r="4" spans="1:14" x14ac:dyDescent="0.35">
      <c r="A4" s="15"/>
      <c r="B4" s="15"/>
      <c r="C4" s="15"/>
      <c r="D4" s="15"/>
      <c r="E4" s="15"/>
      <c r="F4" s="15"/>
      <c r="G4" s="15"/>
      <c r="H4" s="15"/>
      <c r="I4" s="15"/>
      <c r="J4" s="15"/>
    </row>
    <row r="5" spans="1:14" x14ac:dyDescent="0.35">
      <c r="A5" s="15"/>
      <c r="B5" s="69" t="s">
        <v>31</v>
      </c>
      <c r="C5" s="69"/>
      <c r="D5" s="69"/>
      <c r="E5" s="69"/>
      <c r="F5" s="69"/>
      <c r="G5" s="69"/>
      <c r="H5" s="15"/>
      <c r="I5" s="16" t="s">
        <v>32</v>
      </c>
      <c r="J5" s="17" t="s">
        <v>148</v>
      </c>
    </row>
    <row r="6" spans="1:14" x14ac:dyDescent="0.35">
      <c r="A6" s="15"/>
      <c r="B6" s="70">
        <f>G43/$J$6</f>
        <v>194416666.66666669</v>
      </c>
      <c r="C6" s="71"/>
      <c r="D6" s="71"/>
      <c r="E6" s="71"/>
      <c r="F6" s="71"/>
      <c r="G6" s="71"/>
      <c r="H6" s="15"/>
      <c r="I6" s="16" t="s">
        <v>33</v>
      </c>
      <c r="J6" s="18">
        <v>0.06</v>
      </c>
    </row>
    <row r="7" spans="1:14" x14ac:dyDescent="0.35">
      <c r="A7" s="15"/>
      <c r="B7" s="71"/>
      <c r="C7" s="71"/>
      <c r="D7" s="71"/>
      <c r="E7" s="71"/>
      <c r="F7" s="71"/>
      <c r="G7" s="71"/>
      <c r="H7" s="15"/>
      <c r="I7" s="16" t="s">
        <v>34</v>
      </c>
      <c r="J7" s="19">
        <f>Valuation!D75</f>
        <v>100000</v>
      </c>
    </row>
    <row r="8" spans="1:14" x14ac:dyDescent="0.35">
      <c r="A8" s="15"/>
      <c r="B8" s="71"/>
      <c r="C8" s="71"/>
      <c r="D8" s="71"/>
      <c r="E8" s="71"/>
      <c r="F8" s="71"/>
      <c r="G8" s="71"/>
      <c r="H8" s="15"/>
      <c r="I8" s="15"/>
      <c r="J8" s="15"/>
    </row>
    <row r="9" spans="1:14" x14ac:dyDescent="0.35">
      <c r="A9" s="15"/>
      <c r="B9" s="15"/>
      <c r="C9" s="15"/>
      <c r="D9" s="15"/>
      <c r="E9" s="39"/>
      <c r="F9" s="15"/>
      <c r="G9" s="15"/>
      <c r="H9" s="15"/>
      <c r="I9" s="15"/>
      <c r="J9" s="15"/>
    </row>
    <row r="10" spans="1:14" x14ac:dyDescent="0.35">
      <c r="A10" s="15"/>
      <c r="B10" s="74" t="s">
        <v>35</v>
      </c>
      <c r="C10" s="74"/>
      <c r="D10" s="74"/>
      <c r="E10" s="74"/>
      <c r="F10" s="74"/>
      <c r="G10" s="74"/>
      <c r="H10" s="15"/>
      <c r="I10" s="74" t="s">
        <v>50</v>
      </c>
      <c r="J10" s="74"/>
      <c r="K10" s="74"/>
      <c r="L10" s="74"/>
      <c r="M10" s="74"/>
      <c r="N10" s="74"/>
    </row>
    <row r="11" spans="1:14" ht="18.649999999999999" customHeight="1" x14ac:dyDescent="0.35">
      <c r="A11" s="15"/>
      <c r="B11" s="20" t="s">
        <v>5</v>
      </c>
      <c r="C11" s="20" t="s">
        <v>0</v>
      </c>
      <c r="D11" s="20" t="s">
        <v>36</v>
      </c>
      <c r="E11" s="20" t="s">
        <v>37</v>
      </c>
      <c r="F11" s="20" t="s">
        <v>38</v>
      </c>
      <c r="G11" s="20" t="s">
        <v>39</v>
      </c>
      <c r="H11" s="15"/>
      <c r="I11" s="20" t="s">
        <v>47</v>
      </c>
      <c r="J11" s="20" t="s">
        <v>49</v>
      </c>
    </row>
    <row r="12" spans="1:14" ht="12" customHeight="1" x14ac:dyDescent="0.35">
      <c r="A12" s="15"/>
      <c r="B12" s="21" t="str">
        <f>Valuation!A2</f>
        <v>Kurv Melrose Park</v>
      </c>
      <c r="C12" s="22" t="str">
        <f>Valuation!C2</f>
        <v>IL</v>
      </c>
      <c r="D12" s="23">
        <f>Valuation!D2</f>
        <v>1557680</v>
      </c>
      <c r="E12" s="24">
        <f>Valuation!J2</f>
        <v>613500</v>
      </c>
      <c r="F12" s="24">
        <f>IF(Valuation!K2="Yes",$J$7,0)</f>
        <v>100000</v>
      </c>
      <c r="G12" s="24">
        <f t="shared" ref="G12:G42" si="0">E12+F12</f>
        <v>713500</v>
      </c>
      <c r="H12" s="15"/>
      <c r="I12" s="41">
        <v>0.05</v>
      </c>
      <c r="J12" s="40">
        <f>$G$43/I12</f>
        <v>233300000</v>
      </c>
    </row>
    <row r="13" spans="1:14" ht="12" customHeight="1" x14ac:dyDescent="0.35">
      <c r="A13" s="15"/>
      <c r="B13" s="21" t="str">
        <f>Valuation!A3</f>
        <v>Kurv McCook</v>
      </c>
      <c r="C13" s="22" t="str">
        <f>Valuation!C3</f>
        <v>IL</v>
      </c>
      <c r="D13" s="23">
        <f>Valuation!D3</f>
        <v>1193232</v>
      </c>
      <c r="E13" s="24">
        <f>Valuation!J3</f>
        <v>470000</v>
      </c>
      <c r="F13" s="24">
        <f>IF(Valuation!K3="Yes",$J$7,0)</f>
        <v>100000</v>
      </c>
      <c r="G13" s="24">
        <f t="shared" si="0"/>
        <v>570000</v>
      </c>
      <c r="H13" s="15"/>
      <c r="I13" s="42">
        <v>5.5E-2</v>
      </c>
      <c r="J13" s="40">
        <f t="shared" ref="J13:J16" si="1">$G$43/I13</f>
        <v>212090909.09090909</v>
      </c>
    </row>
    <row r="14" spans="1:14" ht="12" customHeight="1" x14ac:dyDescent="0.35">
      <c r="A14" s="15"/>
      <c r="B14" s="21" t="str">
        <f>Valuation!A4</f>
        <v>Kurv Fountain Square</v>
      </c>
      <c r="C14" s="22" t="str">
        <f>Valuation!C4</f>
        <v>IL</v>
      </c>
      <c r="D14" s="23">
        <f>Valuation!D4</f>
        <v>965751</v>
      </c>
      <c r="E14" s="24">
        <f>Valuation!J4</f>
        <v>380500</v>
      </c>
      <c r="F14" s="24">
        <f>IF(Valuation!K4="Yes",$J$7,0)</f>
        <v>100000</v>
      </c>
      <c r="G14" s="24">
        <f t="shared" si="0"/>
        <v>480500</v>
      </c>
      <c r="H14" s="15"/>
      <c r="I14" s="41">
        <v>0.06</v>
      </c>
      <c r="J14" s="40">
        <f t="shared" si="1"/>
        <v>194416666.66666669</v>
      </c>
    </row>
    <row r="15" spans="1:14" ht="12" customHeight="1" x14ac:dyDescent="0.35">
      <c r="A15" s="15"/>
      <c r="B15" s="21" t="str">
        <f>Valuation!A5</f>
        <v>Kurv Romeoville</v>
      </c>
      <c r="C15" s="22" t="str">
        <f>Valuation!C5</f>
        <v>IL</v>
      </c>
      <c r="D15" s="23">
        <f>Valuation!D5</f>
        <v>658886</v>
      </c>
      <c r="E15" s="24">
        <f>Valuation!J5</f>
        <v>259000</v>
      </c>
      <c r="F15" s="24">
        <f>IF(Valuation!K5="Yes",$J$7,0)</f>
        <v>100000</v>
      </c>
      <c r="G15" s="24">
        <f t="shared" si="0"/>
        <v>359000</v>
      </c>
      <c r="H15" s="15"/>
      <c r="I15" s="42">
        <v>6.5000000000000002E-2</v>
      </c>
      <c r="J15" s="40">
        <f t="shared" si="1"/>
        <v>179461538.46153846</v>
      </c>
    </row>
    <row r="16" spans="1:14" ht="12" customHeight="1" x14ac:dyDescent="0.35">
      <c r="A16" s="15"/>
      <c r="B16" s="21" t="str">
        <f>Valuation!A6</f>
        <v>Kurv Wood Dale</v>
      </c>
      <c r="C16" s="22" t="str">
        <f>Valuation!C6</f>
        <v>IL</v>
      </c>
      <c r="D16" s="23">
        <f>Valuation!D6</f>
        <v>340579</v>
      </c>
      <c r="E16" s="24">
        <f>Valuation!J6</f>
        <v>134000</v>
      </c>
      <c r="F16" s="24">
        <f>IF(Valuation!K6="Yes",$J$7,0)</f>
        <v>100000</v>
      </c>
      <c r="G16" s="24">
        <f t="shared" si="0"/>
        <v>234000</v>
      </c>
      <c r="H16" s="15"/>
      <c r="I16" s="41">
        <v>7.0000000000000007E-2</v>
      </c>
      <c r="J16" s="40">
        <f t="shared" si="1"/>
        <v>166642857.14285713</v>
      </c>
    </row>
    <row r="17" spans="1:10" ht="12" customHeight="1" x14ac:dyDescent="0.35">
      <c r="A17" s="15"/>
      <c r="B17" s="21" t="str">
        <f>Valuation!A7</f>
        <v>Kurv Summit</v>
      </c>
      <c r="C17" s="22" t="str">
        <f>Valuation!C7</f>
        <v>IL</v>
      </c>
      <c r="D17" s="23">
        <f>Valuation!D7</f>
        <v>362283</v>
      </c>
      <c r="E17" s="24">
        <f>Valuation!J7</f>
        <v>142500</v>
      </c>
      <c r="F17" s="24">
        <f>IF(Valuation!K7="Yes",$J$7,0)</f>
        <v>100000</v>
      </c>
      <c r="G17" s="24">
        <f t="shared" si="0"/>
        <v>242500</v>
      </c>
      <c r="H17" s="15"/>
      <c r="I17" s="41"/>
      <c r="J17" s="40"/>
    </row>
    <row r="18" spans="1:10" ht="12" customHeight="1" x14ac:dyDescent="0.35">
      <c r="A18" s="15"/>
      <c r="B18" s="21" t="str">
        <f>Valuation!A8</f>
        <v>Kurv Mundelein</v>
      </c>
      <c r="C18" s="22" t="str">
        <f>Valuation!C8</f>
        <v>IL</v>
      </c>
      <c r="D18" s="23">
        <f>Valuation!D8</f>
        <v>321024</v>
      </c>
      <c r="E18" s="24">
        <f>Valuation!J8</f>
        <v>126000</v>
      </c>
      <c r="F18" s="24">
        <f>IF(Valuation!K8="Yes",$J$7,0)</f>
        <v>100000</v>
      </c>
      <c r="G18" s="24">
        <f t="shared" si="0"/>
        <v>226000</v>
      </c>
      <c r="H18" s="15"/>
      <c r="I18" s="41"/>
      <c r="J18" s="40"/>
    </row>
    <row r="19" spans="1:10" ht="12" customHeight="1" x14ac:dyDescent="0.35">
      <c r="A19" s="15"/>
      <c r="B19" s="21" t="str">
        <f>Valuation!A9</f>
        <v>Kurv Route 53</v>
      </c>
      <c r="C19" s="22" t="str">
        <f>Valuation!C9</f>
        <v>IL</v>
      </c>
      <c r="D19" s="23">
        <f>Valuation!D9</f>
        <v>292053</v>
      </c>
      <c r="E19" s="24">
        <f>Valuation!J9</f>
        <v>114500</v>
      </c>
      <c r="F19" s="24">
        <f>IF(Valuation!K9="Yes",$J$7,0)</f>
        <v>100000</v>
      </c>
      <c r="G19" s="24">
        <f t="shared" si="0"/>
        <v>214500</v>
      </c>
      <c r="H19" s="15"/>
      <c r="I19" s="41"/>
      <c r="J19" s="40"/>
    </row>
    <row r="20" spans="1:10" ht="12" customHeight="1" x14ac:dyDescent="0.35">
      <c r="A20" s="15"/>
      <c r="B20" s="21" t="str">
        <f>Valuation!A10</f>
        <v>Kurv Itasca</v>
      </c>
      <c r="C20" s="22" t="str">
        <f>Valuation!C10</f>
        <v>IL</v>
      </c>
      <c r="D20" s="23">
        <f>Valuation!D10</f>
        <v>246388</v>
      </c>
      <c r="E20" s="24">
        <f>Valuation!J10</f>
        <v>97000</v>
      </c>
      <c r="F20" s="24">
        <f>IF(Valuation!K10="Yes",$J$7,0)</f>
        <v>100000</v>
      </c>
      <c r="G20" s="24">
        <f t="shared" si="0"/>
        <v>197000</v>
      </c>
      <c r="H20" s="15"/>
      <c r="I20" s="41"/>
      <c r="J20" s="40"/>
    </row>
    <row r="21" spans="1:10" ht="12" customHeight="1" x14ac:dyDescent="0.35">
      <c r="A21" s="15"/>
      <c r="B21" s="21" t="str">
        <f>Valuation!A11</f>
        <v>Kurv Downers Grove IV</v>
      </c>
      <c r="C21" s="22" t="str">
        <f>Valuation!C11</f>
        <v>IL</v>
      </c>
      <c r="D21" s="23">
        <f>Valuation!D11</f>
        <v>245117</v>
      </c>
      <c r="E21" s="24">
        <f>Valuation!J11</f>
        <v>96500</v>
      </c>
      <c r="F21" s="24">
        <f>IF(Valuation!K11="Yes",$J$7,0)</f>
        <v>100000</v>
      </c>
      <c r="G21" s="24">
        <f t="shared" si="0"/>
        <v>196500</v>
      </c>
      <c r="H21" s="15"/>
      <c r="I21" s="41"/>
      <c r="J21" s="40"/>
    </row>
    <row r="22" spans="1:10" ht="12" customHeight="1" x14ac:dyDescent="0.35">
      <c r="A22" s="15"/>
      <c r="B22" s="21" t="str">
        <f>Valuation!A12</f>
        <v>Kurv Melrose Park II</v>
      </c>
      <c r="C22" s="22" t="str">
        <f>Valuation!C12</f>
        <v>IL</v>
      </c>
      <c r="D22" s="23">
        <f>Valuation!D12</f>
        <v>187596</v>
      </c>
      <c r="E22" s="24">
        <f>Valuation!J12</f>
        <v>65500</v>
      </c>
      <c r="F22" s="24">
        <f>IF(Valuation!K12="Yes",$J$7,0)</f>
        <v>100000</v>
      </c>
      <c r="G22" s="24">
        <f t="shared" si="0"/>
        <v>165500</v>
      </c>
      <c r="H22" s="15"/>
      <c r="I22" s="41"/>
      <c r="J22" s="40"/>
    </row>
    <row r="23" spans="1:10" ht="12" customHeight="1" x14ac:dyDescent="0.35">
      <c r="A23" s="15"/>
      <c r="B23" s="21" t="str">
        <f>Valuation!A13</f>
        <v>Kurv Skokie</v>
      </c>
      <c r="C23" s="22" t="str">
        <f>Valuation!C13</f>
        <v>IL</v>
      </c>
      <c r="D23" s="23">
        <f>Valuation!D13</f>
        <v>171822</v>
      </c>
      <c r="E23" s="24">
        <f>Valuation!J13</f>
        <v>60500</v>
      </c>
      <c r="F23" s="24">
        <f>IF(Valuation!K13="Yes",$J$7,0)</f>
        <v>100000</v>
      </c>
      <c r="G23" s="24">
        <f t="shared" si="0"/>
        <v>160500</v>
      </c>
      <c r="H23" s="15"/>
      <c r="I23" s="41"/>
      <c r="J23" s="40"/>
    </row>
    <row r="24" spans="1:10" ht="12" customHeight="1" x14ac:dyDescent="0.35">
      <c r="A24" s="15"/>
      <c r="B24" s="21" t="str">
        <f>Valuation!A14</f>
        <v>Kurv Bloomingdale</v>
      </c>
      <c r="C24" s="22" t="str">
        <f>Valuation!C14</f>
        <v>IL</v>
      </c>
      <c r="D24" s="23">
        <f>Valuation!D14</f>
        <v>172866</v>
      </c>
      <c r="E24" s="24">
        <f>Valuation!J14</f>
        <v>60500</v>
      </c>
      <c r="F24" s="24">
        <f>IF(Valuation!K14="Yes",$J$7,0)</f>
        <v>100000</v>
      </c>
      <c r="G24" s="24">
        <f t="shared" si="0"/>
        <v>160500</v>
      </c>
      <c r="H24" s="15"/>
      <c r="I24" s="41"/>
      <c r="J24" s="40"/>
    </row>
    <row r="25" spans="1:10" ht="12" customHeight="1" x14ac:dyDescent="0.35">
      <c r="A25" s="15"/>
      <c r="B25" s="21" t="str">
        <f>Valuation!A15</f>
        <v>Kurv Bedford Park II</v>
      </c>
      <c r="C25" s="22" t="str">
        <f>Valuation!C15</f>
        <v>IL</v>
      </c>
      <c r="D25" s="23">
        <f>Valuation!D15</f>
        <v>140011</v>
      </c>
      <c r="E25" s="24">
        <f>Valuation!J15</f>
        <v>49000</v>
      </c>
      <c r="F25" s="24">
        <f>IF(Valuation!K15="Yes",$J$7,0)</f>
        <v>100000</v>
      </c>
      <c r="G25" s="24">
        <f t="shared" si="0"/>
        <v>149000</v>
      </c>
      <c r="H25" s="15"/>
      <c r="I25" s="41"/>
      <c r="J25" s="40"/>
    </row>
    <row r="26" spans="1:10" ht="12" customHeight="1" x14ac:dyDescent="0.35">
      <c r="A26" s="15"/>
      <c r="B26" s="21" t="str">
        <f>Valuation!A16</f>
        <v>Kurv Downers Grove III</v>
      </c>
      <c r="C26" s="22" t="str">
        <f>Valuation!C16</f>
        <v>IL</v>
      </c>
      <c r="D26" s="23">
        <f>Valuation!D16</f>
        <v>127665</v>
      </c>
      <c r="E26" s="24">
        <f>Valuation!J16</f>
        <v>44500</v>
      </c>
      <c r="F26" s="24">
        <f>IF(Valuation!K16="Yes",$J$7,0)</f>
        <v>100000</v>
      </c>
      <c r="G26" s="24">
        <f t="shared" si="0"/>
        <v>144500</v>
      </c>
      <c r="H26" s="15"/>
      <c r="I26" s="41"/>
      <c r="J26" s="40"/>
    </row>
    <row r="27" spans="1:10" ht="12" customHeight="1" x14ac:dyDescent="0.35">
      <c r="A27" s="15"/>
      <c r="B27" s="21" t="str">
        <f>Valuation!A17</f>
        <v>Kurv Bridge Point 78 Phase II</v>
      </c>
      <c r="C27" s="22" t="str">
        <f>Valuation!C17</f>
        <v>NJ</v>
      </c>
      <c r="D27" s="23">
        <f>Valuation!D17</f>
        <v>1235513</v>
      </c>
      <c r="E27" s="24">
        <f>Valuation!J17</f>
        <v>757000</v>
      </c>
      <c r="F27" s="24">
        <f>IF(Valuation!K17="Yes",$J$7,0)</f>
        <v>100000</v>
      </c>
      <c r="G27" s="24">
        <f t="shared" si="0"/>
        <v>857000</v>
      </c>
      <c r="H27" s="15"/>
      <c r="I27" s="41"/>
      <c r="J27" s="40"/>
    </row>
    <row r="28" spans="1:10" ht="12" customHeight="1" x14ac:dyDescent="0.35">
      <c r="A28" s="15"/>
      <c r="B28" s="21" t="str">
        <f>Valuation!A18</f>
        <v>Kurv Somerset</v>
      </c>
      <c r="C28" s="22" t="str">
        <f>Valuation!C18</f>
        <v>NJ</v>
      </c>
      <c r="D28" s="23">
        <f>Valuation!D18</f>
        <v>1243982</v>
      </c>
      <c r="E28" s="24">
        <f>Valuation!J18</f>
        <v>1197000</v>
      </c>
      <c r="F28" s="24">
        <f>IF(Valuation!K18="Yes",$J$7,0)</f>
        <v>100000</v>
      </c>
      <c r="G28" s="24">
        <f t="shared" si="0"/>
        <v>1297000</v>
      </c>
      <c r="H28" s="15"/>
      <c r="I28" s="41"/>
      <c r="J28" s="40"/>
    </row>
    <row r="29" spans="1:10" ht="12" customHeight="1" x14ac:dyDescent="0.35">
      <c r="A29" s="15"/>
      <c r="B29" s="21" t="str">
        <f>Valuation!A19</f>
        <v>Kurv Perth Amboy II</v>
      </c>
      <c r="C29" s="22" t="str">
        <f>Valuation!C19</f>
        <v>NJ</v>
      </c>
      <c r="D29" s="23">
        <f>Valuation!D19</f>
        <v>1094676</v>
      </c>
      <c r="E29" s="24">
        <f>Valuation!J19</f>
        <v>1053500</v>
      </c>
      <c r="F29" s="24">
        <f>IF(Valuation!K19="Yes",$J$7,0)</f>
        <v>100000</v>
      </c>
      <c r="G29" s="24">
        <f t="shared" si="0"/>
        <v>1153500</v>
      </c>
      <c r="H29" s="15"/>
      <c r="I29" s="41"/>
      <c r="J29" s="40"/>
    </row>
    <row r="30" spans="1:10" ht="12" customHeight="1" x14ac:dyDescent="0.35">
      <c r="A30" s="15"/>
      <c r="B30" s="21" t="str">
        <f>Valuation!A20</f>
        <v>Kurv Perth Amboy III</v>
      </c>
      <c r="C30" s="22" t="str">
        <f>Valuation!C20</f>
        <v>NJ</v>
      </c>
      <c r="D30" s="23">
        <f>Valuation!D20</f>
        <v>471231</v>
      </c>
      <c r="E30" s="24">
        <f>Valuation!J20</f>
        <v>453500</v>
      </c>
      <c r="F30" s="24">
        <f>IF(Valuation!K20="Yes",$J$7,0)</f>
        <v>100000</v>
      </c>
      <c r="G30" s="24">
        <f t="shared" si="0"/>
        <v>553500</v>
      </c>
      <c r="H30" s="15"/>
      <c r="I30" s="41"/>
      <c r="J30" s="40"/>
    </row>
    <row r="31" spans="1:10" ht="12" customHeight="1" x14ac:dyDescent="0.35">
      <c r="A31" s="15"/>
      <c r="B31" s="21" t="str">
        <f>Valuation!A21</f>
        <v>Kurv Belleville</v>
      </c>
      <c r="C31" s="22" t="str">
        <f>Valuation!C21</f>
        <v>NJ</v>
      </c>
      <c r="D31" s="23">
        <f>Valuation!D21</f>
        <v>361609</v>
      </c>
      <c r="E31" s="24">
        <f>Valuation!J21</f>
        <v>348500</v>
      </c>
      <c r="F31" s="24">
        <f>IF(Valuation!K21="Yes",$J$7,0)</f>
        <v>100000</v>
      </c>
      <c r="G31" s="24">
        <f t="shared" si="0"/>
        <v>448500</v>
      </c>
      <c r="H31" s="15"/>
      <c r="I31" s="41"/>
      <c r="J31" s="40"/>
    </row>
    <row r="32" spans="1:10" ht="12" customHeight="1" x14ac:dyDescent="0.35">
      <c r="A32" s="15"/>
      <c r="B32" s="21" t="str">
        <f>Valuation!A22</f>
        <v>Kurv Bayonne</v>
      </c>
      <c r="C32" s="22" t="str">
        <f>Valuation!C22</f>
        <v>NJ</v>
      </c>
      <c r="D32" s="23">
        <f>Valuation!D22</f>
        <v>355580</v>
      </c>
      <c r="E32" s="24">
        <f>Valuation!J22</f>
        <v>342000</v>
      </c>
      <c r="F32" s="24">
        <f>IF(Valuation!K22="Yes",$J$7,0)</f>
        <v>100000</v>
      </c>
      <c r="G32" s="24">
        <f t="shared" si="0"/>
        <v>442000</v>
      </c>
      <c r="H32" s="15"/>
      <c r="I32" s="41"/>
      <c r="J32" s="40"/>
    </row>
    <row r="33" spans="1:10" ht="12" customHeight="1" x14ac:dyDescent="0.35">
      <c r="A33" s="15"/>
      <c r="B33" s="21" t="str">
        <f>Valuation!A23</f>
        <v>Kurv East Hanover</v>
      </c>
      <c r="C33" s="22" t="str">
        <f>Valuation!C23</f>
        <v>NJ</v>
      </c>
      <c r="D33" s="23">
        <f>Valuation!D23</f>
        <v>322268</v>
      </c>
      <c r="E33" s="24">
        <f>Valuation!J23</f>
        <v>198000</v>
      </c>
      <c r="F33" s="24">
        <f>IF(Valuation!K23="Yes",$J$7,0)</f>
        <v>100000</v>
      </c>
      <c r="G33" s="24">
        <f t="shared" si="0"/>
        <v>298000</v>
      </c>
      <c r="H33" s="15"/>
      <c r="I33" s="41"/>
      <c r="J33" s="40"/>
    </row>
    <row r="34" spans="1:10" ht="12" customHeight="1" x14ac:dyDescent="0.35">
      <c r="A34" s="15"/>
      <c r="B34" s="21" t="str">
        <f>Valuation!A24</f>
        <v>Kurv South Brunswick</v>
      </c>
      <c r="C34" s="22" t="str">
        <f>Valuation!C24</f>
        <v>NJ</v>
      </c>
      <c r="D34" s="23">
        <f>Valuation!D24</f>
        <v>291758</v>
      </c>
      <c r="E34" s="24">
        <f>Valuation!J24</f>
        <v>281000</v>
      </c>
      <c r="F34" s="24">
        <f>IF(Valuation!K24="Yes",$J$7,0)</f>
        <v>100000</v>
      </c>
      <c r="G34" s="24">
        <f t="shared" si="0"/>
        <v>381000</v>
      </c>
      <c r="H34" s="15"/>
      <c r="I34" s="41"/>
      <c r="J34" s="40"/>
    </row>
    <row r="35" spans="1:10" ht="12" customHeight="1" x14ac:dyDescent="0.35">
      <c r="A35" s="15"/>
      <c r="B35" s="21" t="str">
        <f>Valuation!A25</f>
        <v>Kurv Elizabeth</v>
      </c>
      <c r="C35" s="22" t="str">
        <f>Valuation!C25</f>
        <v>NJ</v>
      </c>
      <c r="D35" s="23">
        <f>Valuation!D25</f>
        <v>217344</v>
      </c>
      <c r="E35" s="24">
        <f>Valuation!J25</f>
        <v>209000</v>
      </c>
      <c r="F35" s="24">
        <f>IF(Valuation!K25="Yes",$J$7,0)</f>
        <v>100000</v>
      </c>
      <c r="G35" s="24">
        <f t="shared" si="0"/>
        <v>309000</v>
      </c>
      <c r="H35" s="15"/>
      <c r="I35" s="41"/>
      <c r="J35" s="40"/>
    </row>
    <row r="36" spans="1:10" ht="12" customHeight="1" x14ac:dyDescent="0.35">
      <c r="A36" s="15"/>
      <c r="B36" s="21" t="str">
        <f>Valuation!A26</f>
        <v>Kurv Newark</v>
      </c>
      <c r="C36" s="22" t="str">
        <f>Valuation!C26</f>
        <v>NJ</v>
      </c>
      <c r="D36" s="23">
        <f>Valuation!D26</f>
        <v>219628</v>
      </c>
      <c r="E36" s="24">
        <f>Valuation!J26</f>
        <v>212000</v>
      </c>
      <c r="F36" s="24">
        <f>IF(Valuation!K26="Yes",$J$7,0)</f>
        <v>100000</v>
      </c>
      <c r="G36" s="24">
        <f t="shared" si="0"/>
        <v>312000</v>
      </c>
      <c r="H36" s="15"/>
      <c r="I36" s="41"/>
      <c r="J36" s="40"/>
    </row>
    <row r="37" spans="1:10" ht="12" customHeight="1" x14ac:dyDescent="0.35">
      <c r="A37" s="15"/>
      <c r="B37" s="21" t="str">
        <f>Valuation!A27</f>
        <v>Kurv South Plainfield</v>
      </c>
      <c r="C37" s="22" t="str">
        <f>Valuation!C27</f>
        <v>NJ</v>
      </c>
      <c r="D37" s="23">
        <f>Valuation!D27</f>
        <v>192157</v>
      </c>
      <c r="E37" s="24">
        <f>Valuation!J27</f>
        <v>168000</v>
      </c>
      <c r="F37" s="24">
        <f>IF(Valuation!K27="Yes",$J$7,0)</f>
        <v>100000</v>
      </c>
      <c r="G37" s="24">
        <f t="shared" si="0"/>
        <v>268000</v>
      </c>
      <c r="H37" s="15"/>
      <c r="I37" s="41"/>
      <c r="J37" s="40"/>
    </row>
    <row r="38" spans="1:10" ht="12" customHeight="1" x14ac:dyDescent="0.35">
      <c r="A38" s="15"/>
      <c r="B38" s="21" t="str">
        <f>Valuation!A28</f>
        <v>Kurv South Plainfield II</v>
      </c>
      <c r="C38" s="22" t="str">
        <f>Valuation!C28</f>
        <v>NJ</v>
      </c>
      <c r="D38" s="23">
        <f>Valuation!D28</f>
        <v>176405</v>
      </c>
      <c r="E38" s="24">
        <f>Valuation!J28</f>
        <v>154000</v>
      </c>
      <c r="F38" s="24">
        <f>IF(Valuation!K28="Yes",$J$7,0)</f>
        <v>100000</v>
      </c>
      <c r="G38" s="24">
        <f t="shared" si="0"/>
        <v>254000</v>
      </c>
      <c r="H38" s="15"/>
      <c r="I38" s="41"/>
      <c r="J38" s="40"/>
    </row>
    <row r="39" spans="1:10" ht="12" customHeight="1" x14ac:dyDescent="0.35">
      <c r="A39" s="15"/>
      <c r="B39" s="21" t="str">
        <f>Valuation!A29</f>
        <v>Kurv Somerset II</v>
      </c>
      <c r="C39" s="22" t="str">
        <f>Valuation!C29</f>
        <v>NJ</v>
      </c>
      <c r="D39" s="23">
        <f>Valuation!D29</f>
        <v>154269</v>
      </c>
      <c r="E39" s="24">
        <f>Valuation!J29</f>
        <v>135000</v>
      </c>
      <c r="F39" s="24">
        <f>IF(Valuation!K29="Yes",$J$7,0)</f>
        <v>100000</v>
      </c>
      <c r="G39" s="24">
        <f t="shared" si="0"/>
        <v>235000</v>
      </c>
      <c r="H39" s="15"/>
      <c r="I39" s="41"/>
      <c r="J39" s="40"/>
    </row>
    <row r="40" spans="1:10" ht="12" customHeight="1" x14ac:dyDescent="0.35">
      <c r="A40" s="15"/>
      <c r="B40" s="21" t="str">
        <f>Valuation!A30</f>
        <v>Kurv Piscataway</v>
      </c>
      <c r="C40" s="22" t="str">
        <f>Valuation!C30</f>
        <v>NJ</v>
      </c>
      <c r="D40" s="23">
        <f>Valuation!D30</f>
        <v>149346</v>
      </c>
      <c r="E40" s="24">
        <f>Valuation!J30</f>
        <v>130500</v>
      </c>
      <c r="F40" s="24">
        <f>IF(Valuation!K30="Yes",$J$7,0)</f>
        <v>100000</v>
      </c>
      <c r="G40" s="24">
        <f t="shared" si="0"/>
        <v>230500</v>
      </c>
      <c r="H40" s="15"/>
      <c r="I40" s="41"/>
      <c r="J40" s="40"/>
    </row>
    <row r="41" spans="1:10" ht="12" customHeight="1" x14ac:dyDescent="0.35">
      <c r="A41" s="15"/>
      <c r="B41" s="21" t="str">
        <f>Valuation!A31</f>
        <v>Kurv East Rutherford</v>
      </c>
      <c r="C41" s="22" t="str">
        <f>Valuation!C31</f>
        <v>NJ</v>
      </c>
      <c r="D41" s="23">
        <f>Valuation!D31</f>
        <v>127620</v>
      </c>
      <c r="E41" s="24">
        <f>Valuation!J31</f>
        <v>112000</v>
      </c>
      <c r="F41" s="24">
        <f>IF(Valuation!K31="Yes",$J$7,0)</f>
        <v>100000</v>
      </c>
      <c r="G41" s="24">
        <f t="shared" si="0"/>
        <v>212000</v>
      </c>
      <c r="H41" s="15"/>
      <c r="I41" s="41"/>
      <c r="J41" s="40"/>
    </row>
    <row r="42" spans="1:10" ht="12" customHeight="1" thickBot="1" x14ac:dyDescent="0.4">
      <c r="A42" s="15"/>
      <c r="B42" s="21" t="str">
        <f>Valuation!A32</f>
        <v>Kurv West Linden</v>
      </c>
      <c r="C42" s="22" t="str">
        <f>Valuation!C32</f>
        <v>NJ</v>
      </c>
      <c r="D42" s="23">
        <f>Valuation!D32</f>
        <v>114910</v>
      </c>
      <c r="E42" s="24">
        <f>Valuation!J32</f>
        <v>100500</v>
      </c>
      <c r="F42" s="24">
        <f>IF(Valuation!K32="Yes",$J$7,0)</f>
        <v>100000</v>
      </c>
      <c r="G42" s="24">
        <f t="shared" si="0"/>
        <v>200500</v>
      </c>
      <c r="H42" s="15"/>
      <c r="I42" s="41"/>
      <c r="J42" s="40"/>
    </row>
    <row r="43" spans="1:10" x14ac:dyDescent="0.35">
      <c r="A43" s="15"/>
      <c r="B43" s="25" t="s">
        <v>40</v>
      </c>
      <c r="C43" s="25"/>
      <c r="D43" s="26">
        <f>SUM(D12:D42)</f>
        <v>13711249</v>
      </c>
      <c r="E43" s="27">
        <f>SUM(E12:E42)</f>
        <v>8565000</v>
      </c>
      <c r="F43" s="27">
        <f>SUM(F12:F42)</f>
        <v>3100000</v>
      </c>
      <c r="G43" s="27">
        <f>SUM(G12:G42)</f>
        <v>11665000</v>
      </c>
      <c r="H43" s="15"/>
      <c r="I43" s="15"/>
      <c r="J43" s="15"/>
    </row>
    <row r="44" spans="1:10" x14ac:dyDescent="0.35">
      <c r="A44" s="15"/>
      <c r="B44" s="15"/>
      <c r="C44" s="15"/>
      <c r="D44" s="15"/>
      <c r="E44" s="15"/>
      <c r="F44" s="15"/>
      <c r="G44" s="15"/>
      <c r="H44" s="15"/>
      <c r="I44" s="15"/>
      <c r="J44" s="15"/>
    </row>
    <row r="45" spans="1:10" x14ac:dyDescent="0.35">
      <c r="A45" s="15"/>
      <c r="B45" s="74" t="s">
        <v>41</v>
      </c>
      <c r="C45" s="74"/>
      <c r="D45" s="74"/>
      <c r="E45" s="74"/>
      <c r="F45" s="74"/>
      <c r="G45" s="74"/>
      <c r="H45" s="15"/>
      <c r="I45" s="15"/>
      <c r="J45" s="15"/>
    </row>
    <row r="46" spans="1:10" x14ac:dyDescent="0.35">
      <c r="A46" s="15"/>
      <c r="B46" s="28" t="s">
        <v>42</v>
      </c>
      <c r="C46" s="28"/>
      <c r="D46" s="28" t="s">
        <v>43</v>
      </c>
      <c r="E46" s="28" t="s">
        <v>44</v>
      </c>
      <c r="F46" s="28"/>
      <c r="G46" s="28" t="s">
        <v>3</v>
      </c>
      <c r="H46" s="15"/>
      <c r="I46" s="30" t="s">
        <v>45</v>
      </c>
      <c r="J46" s="31" t="s">
        <v>46</v>
      </c>
    </row>
    <row r="47" spans="1:10" ht="20" x14ac:dyDescent="0.35">
      <c r="A47" s="15"/>
      <c r="B47" s="75">
        <f>SUM(E12:E42)*25</f>
        <v>214125000</v>
      </c>
      <c r="C47" s="75"/>
      <c r="D47" s="75">
        <f>SUM(F12:F42)*25</f>
        <v>77500000</v>
      </c>
      <c r="E47" s="75"/>
      <c r="F47" s="76">
        <f>SUM(B47:E47)</f>
        <v>291625000</v>
      </c>
      <c r="G47" s="77">
        <f>SUM(G12:G42)*25</f>
        <v>291625000</v>
      </c>
      <c r="H47" s="15"/>
      <c r="I47" s="32"/>
      <c r="J47" s="33"/>
    </row>
    <row r="48" spans="1:10" x14ac:dyDescent="0.35">
      <c r="A48" s="15"/>
      <c r="B48" s="15"/>
      <c r="C48" s="15"/>
      <c r="D48" s="15"/>
      <c r="E48" s="15"/>
      <c r="F48" s="15"/>
      <c r="G48" s="29"/>
      <c r="H48" s="15"/>
      <c r="I48" s="15" t="s">
        <v>47</v>
      </c>
      <c r="J48" s="34">
        <f>$J$6</f>
        <v>0.06</v>
      </c>
    </row>
    <row r="49" spans="1:10" ht="32" customHeight="1" x14ac:dyDescent="0.35">
      <c r="A49" s="15"/>
      <c r="B49" s="72" t="s">
        <v>48</v>
      </c>
      <c r="C49" s="72"/>
      <c r="D49" s="72"/>
      <c r="E49" s="72"/>
      <c r="F49" s="72"/>
      <c r="G49" s="72"/>
      <c r="H49" s="15"/>
      <c r="I49" s="15" t="s">
        <v>49</v>
      </c>
      <c r="J49" s="35">
        <f>SUM(G12:G42)/$J$6</f>
        <v>194416666.66666669</v>
      </c>
    </row>
    <row r="50" spans="1:10" x14ac:dyDescent="0.35">
      <c r="A50" s="15"/>
      <c r="B50" s="15"/>
      <c r="C50" s="15"/>
      <c r="D50" s="15"/>
      <c r="E50" s="15"/>
      <c r="F50" s="15"/>
      <c r="G50" s="15"/>
      <c r="H50" s="15"/>
      <c r="I50" s="15"/>
      <c r="J50" s="15"/>
    </row>
    <row r="51" spans="1:10" x14ac:dyDescent="0.35">
      <c r="A51" s="15"/>
      <c r="B51" s="73" t="s">
        <v>52</v>
      </c>
      <c r="C51" s="73"/>
      <c r="D51" s="73"/>
      <c r="E51" s="73"/>
      <c r="F51" s="73"/>
      <c r="G51" s="73"/>
      <c r="H51" s="73"/>
      <c r="I51" s="73"/>
      <c r="J51" s="73"/>
    </row>
    <row r="52" spans="1:10" x14ac:dyDescent="0.35">
      <c r="A52" s="15"/>
      <c r="B52" s="73"/>
      <c r="C52" s="73"/>
      <c r="D52" s="73"/>
      <c r="E52" s="73"/>
      <c r="F52" s="73"/>
      <c r="G52" s="73"/>
      <c r="H52" s="73"/>
      <c r="I52" s="73"/>
      <c r="J52" s="73"/>
    </row>
  </sheetData>
  <mergeCells count="13">
    <mergeCell ref="B49:G49"/>
    <mergeCell ref="B51:J52"/>
    <mergeCell ref="I10:N10"/>
    <mergeCell ref="B10:G10"/>
    <mergeCell ref="B45:G45"/>
    <mergeCell ref="B47:C47"/>
    <mergeCell ref="D47:E47"/>
    <mergeCell ref="F47:G47"/>
    <mergeCell ref="B2:G2"/>
    <mergeCell ref="B3:G3"/>
    <mergeCell ref="I2:J3"/>
    <mergeCell ref="B5:G5"/>
    <mergeCell ref="B6:G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Property List</vt:lpstr>
      <vt:lpstr>Valuation</vt:lpstr>
      <vt:lpstr>Client One-Pager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Manikyalarao Poduri</dc:creator>
  <cp:lastModifiedBy>Manikyalarao Poduri</cp:lastModifiedBy>
  <dcterms:created xsi:type="dcterms:W3CDTF">2026-10-07T15:26:35Z</dcterms:created>
  <dcterms:modified xsi:type="dcterms:W3CDTF">2026-10-14T22:28:16Z</dcterms:modified>
</cp:coreProperties>
</file>